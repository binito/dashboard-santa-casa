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slicers/slicer3.xml" ContentType="application/vnd.ms-excel.slicer+xml"/>
  <Override PartName="/xl/pivotTables/pivotTable1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/>
  <xr:revisionPtr revIDLastSave="1755" documentId="8_{E451CC01-8EDA-41C6-8B9B-A5E018FEF1B5}" xr6:coauthVersionLast="47" xr6:coauthVersionMax="47" xr10:uidLastSave="{C8C1E62F-AADA-41A1-A9C3-112450697F42}"/>
  <bookViews>
    <workbookView xWindow="-108" yWindow="-108" windowWidth="23256" windowHeight="12456" tabRatio="692" xr2:uid="{94D06007-4C84-4A66-A35B-9D7A2C2FC5DC}"/>
  </bookViews>
  <sheets>
    <sheet name="dashboard" sheetId="7" r:id="rId1"/>
    <sheet name="esboço" sheetId="3" state="hidden" r:id="rId2"/>
    <sheet name="vendas vs objectivos" sheetId="1" r:id="rId3"/>
    <sheet name="vendas por semana" sheetId="2" r:id="rId4"/>
    <sheet name="Lucro" sheetId="10" state="hidden" r:id="rId5"/>
    <sheet name="calc" sheetId="5" state="hidden" r:id="rId6"/>
    <sheet name="sparkline" sheetId="8" state="hidden" r:id="rId7"/>
  </sheets>
  <definedNames>
    <definedName name="_xlnm.Print_Area" localSheetId="0">dashboard!$A$2:$U$34</definedName>
    <definedName name="SegmentaçãoDeDados_Ano">#N/A</definedName>
    <definedName name="SegmentaçãoDeDados_Mês">#N/A</definedName>
    <definedName name="SegmentaçãoDeDados_Numero_da_Semana">#N/A</definedName>
    <definedName name="SegmentaçãoDeDados_Numero_da_Semana1">#N/A</definedName>
  </definedNames>
  <calcPr calcId="191029"/>
  <pivotCaches>
    <pivotCache cacheId="16" r:id="rId8"/>
    <pivotCache cacheId="19" r:id="rId9"/>
    <pivotCache cacheId="22" r:id="rId10"/>
    <pivotCache cacheId="25" r:id="rId11"/>
    <pivotCache cacheId="28" r:id="rId12"/>
    <pivotCache cacheId="31" r:id="rId13"/>
    <pivotCache cacheId="34" r:id="rId14"/>
    <pivotCache cacheId="37" r:id="rId15"/>
    <pivotCache cacheId="40" r:id="rId16"/>
    <pivotCache cacheId="43" r:id="rId17"/>
    <pivotCache cacheId="46" r:id="rId18"/>
    <pivotCache cacheId="49" r:id="rId19"/>
  </pivotCaches>
  <extLst>
    <ext xmlns:x14="http://schemas.microsoft.com/office/spreadsheetml/2009/9/main" uri="{876F7934-8845-4945-9796-88D515C7AA90}">
      <x14:pivotCaches>
        <pivotCache cacheId="15" r:id="rId20"/>
      </x14:pivotCaches>
    </ex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mport data_7badf69c-927e-4480-82a5-92dc2a04fa1c" name="import data" connection="Consulta - import data"/>
          <x15:modelTable id="prestacao_da5951a5-337a-40cc-813a-10e770a1c04b" name="prestacao" connection="Consulta - prestacao"/>
          <x15:modelTable id="comissoes_2ac34a4f-b411-4909-9276-ee6e1492ae2d" name="comissoes" connection="Consulta - comissoes"/>
          <x15:modelTable id="objectivos_01dd5555-a561-4217-9b89-3883a1573aa5" name="objectivos" connection="Consulta - objectivos"/>
          <x15:modelTable id="jogos_6e07a2c5-b3a3-4626-8d7c-684fa84f37aa" name="jogos" connection="Consulta - jogos"/>
          <x15:modelTable id="Calendário" name="calendario" connection="Ligação"/>
        </x15:modelTables>
        <x15:modelRelationships>
          <x15:modelRelationship fromTable="import data" fromColumn="Data" toTable="calendario" toColumn="Date"/>
          <x15:modelRelationship fromTable="import data" fromColumn="Jogo" toTable="comissoes" toColumn="Jogo"/>
          <x15:modelRelationship fromTable="import data" fromColumn="Jogo" toTable="jogos" toColumn="Jogo"/>
          <x15:modelRelationship fromTable="import data" fromColumn="Jogo-Ano" toTable="objectivos" toColumn="Jogo-Ano"/>
          <x15:modelRelationship fromTable="prestacao" fromColumn="Date" toTable="calendario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6" i="7" l="1"/>
  <c r="D11" i="10"/>
  <c r="N4" i="7"/>
  <c r="A26" i="7"/>
  <c r="B4" i="10" s="1"/>
  <c r="A27" i="7"/>
  <c r="B5" i="10" s="1"/>
  <c r="A28" i="7"/>
  <c r="B6" i="10" s="1"/>
  <c r="A29" i="7"/>
  <c r="B7" i="10" s="1"/>
  <c r="A31" i="7"/>
  <c r="B8" i="10" s="1"/>
  <c r="A32" i="7"/>
  <c r="B9" i="10" s="1"/>
  <c r="A33" i="7"/>
  <c r="B10" i="10" s="1"/>
  <c r="A25" i="7"/>
  <c r="B3" i="10" s="1"/>
  <c r="A15" i="7"/>
  <c r="A16" i="7"/>
  <c r="A17" i="7"/>
  <c r="A18" i="7"/>
  <c r="A20" i="7"/>
  <c r="A21" i="7"/>
  <c r="A22" i="7"/>
  <c r="A14" i="7"/>
  <c r="L11" i="7"/>
  <c r="F11" i="7"/>
  <c r="L6" i="3"/>
  <c r="D7" i="3"/>
  <c r="K8" i="3"/>
  <c r="M10" i="3"/>
  <c r="P5" i="3"/>
  <c r="Q5" i="3"/>
  <c r="P9" i="3"/>
  <c r="K10" i="3"/>
  <c r="Q10" i="3"/>
  <c r="L11" i="3"/>
  <c r="T10" i="3"/>
  <c r="S9" i="3"/>
  <c r="R5" i="3"/>
  <c r="F5" i="3"/>
  <c r="P7" i="3"/>
  <c r="E7" i="3"/>
  <c r="M6" i="3"/>
  <c r="F4" i="3"/>
  <c r="M5" i="3"/>
  <c r="P12" i="3"/>
  <c r="J5" i="3"/>
  <c r="L12" i="3"/>
  <c r="T11" i="3"/>
  <c r="L7" i="3"/>
  <c r="C7" i="3"/>
  <c r="R7" i="3"/>
  <c r="R11" i="3"/>
  <c r="M4" i="3"/>
  <c r="K9" i="3"/>
  <c r="B6" i="3"/>
  <c r="Q4" i="3"/>
  <c r="C4" i="3"/>
  <c r="P11" i="3"/>
  <c r="Q8" i="3"/>
  <c r="M8" i="3"/>
  <c r="J9" i="3"/>
  <c r="B8" i="3"/>
  <c r="T9" i="3"/>
  <c r="P6" i="3"/>
  <c r="L8" i="3"/>
  <c r="L9" i="3"/>
  <c r="F6" i="3"/>
  <c r="J4" i="3"/>
  <c r="K4" i="3"/>
  <c r="O8" i="7"/>
  <c r="K7" i="3"/>
  <c r="C6" i="3"/>
  <c r="M12" i="3"/>
  <c r="J7" i="3"/>
  <c r="M9" i="3"/>
  <c r="R10" i="3"/>
  <c r="Q12" i="3"/>
  <c r="S4" i="3"/>
  <c r="K12" i="3"/>
  <c r="S11" i="3"/>
  <c r="S7" i="3"/>
  <c r="D6" i="3"/>
  <c r="D4" i="3"/>
  <c r="S6" i="3"/>
  <c r="S5" i="3"/>
  <c r="B9" i="3"/>
  <c r="B4" i="3"/>
  <c r="T12" i="3"/>
  <c r="O11" i="7"/>
  <c r="L4" i="3"/>
  <c r="B7" i="3"/>
  <c r="R6" i="3"/>
  <c r="T5" i="3"/>
  <c r="T8" i="3"/>
  <c r="J10" i="3"/>
  <c r="J6" i="3"/>
  <c r="L10" i="3"/>
  <c r="M7" i="3"/>
  <c r="T6" i="3"/>
  <c r="Q7" i="3"/>
  <c r="Q11" i="3"/>
  <c r="P10" i="3"/>
  <c r="B5" i="3"/>
  <c r="E6" i="3"/>
  <c r="T7" i="3"/>
  <c r="K6" i="3"/>
  <c r="F7" i="3"/>
  <c r="R12" i="3"/>
  <c r="J8" i="3"/>
  <c r="K5" i="3"/>
  <c r="J11" i="3"/>
  <c r="M11" i="3"/>
  <c r="S12" i="3"/>
  <c r="R8" i="3"/>
  <c r="J12" i="3"/>
  <c r="T4" i="3"/>
  <c r="P8" i="3"/>
  <c r="K11" i="3"/>
  <c r="E4" i="3"/>
  <c r="Q9" i="3"/>
  <c r="L5" i="3"/>
  <c r="R4" i="3"/>
  <c r="S8" i="3"/>
  <c r="S10" i="3"/>
  <c r="P4" i="3"/>
  <c r="Q6" i="3"/>
  <c r="R9" i="3"/>
  <c r="O33" i="7" l="1"/>
  <c r="O25" i="7"/>
  <c r="O27" i="7"/>
  <c r="O29" i="7"/>
  <c r="O32" i="7"/>
  <c r="O31" i="7"/>
  <c r="O28" i="7"/>
  <c r="O26" i="7"/>
  <c r="C11" i="7"/>
  <c r="C8" i="7"/>
  <c r="O10" i="7"/>
  <c r="P10" i="7" s="1"/>
  <c r="P11" i="7" s="1"/>
  <c r="O5" i="7"/>
  <c r="P8" i="7" s="1"/>
  <c r="N8" i="7" s="1"/>
  <c r="O6" i="7"/>
  <c r="O9" i="7"/>
  <c r="L30" i="7"/>
  <c r="I30" i="7"/>
  <c r="F30" i="7"/>
  <c r="C30" i="7"/>
  <c r="F19" i="7"/>
  <c r="L19" i="7"/>
  <c r="I19" i="7"/>
  <c r="C19" i="7"/>
  <c r="F29" i="7"/>
  <c r="C32" i="7"/>
  <c r="C9" i="10" s="1"/>
  <c r="E9" i="10" s="1"/>
  <c r="C25" i="7"/>
  <c r="C3" i="10" s="1"/>
  <c r="L33" i="7"/>
  <c r="I29" i="7"/>
  <c r="F28" i="7"/>
  <c r="L27" i="7"/>
  <c r="I27" i="7"/>
  <c r="C31" i="7"/>
  <c r="C8" i="10" s="1"/>
  <c r="E8" i="10" s="1"/>
  <c r="C26" i="7"/>
  <c r="C4" i="10" s="1"/>
  <c r="E4" i="10" s="1"/>
  <c r="L25" i="7"/>
  <c r="L29" i="7"/>
  <c r="C27" i="7"/>
  <c r="C5" i="10" s="1"/>
  <c r="E5" i="10" s="1"/>
  <c r="F25" i="7"/>
  <c r="L31" i="7"/>
  <c r="F32" i="7"/>
  <c r="F27" i="7"/>
  <c r="I33" i="7"/>
  <c r="F33" i="7"/>
  <c r="C29" i="7"/>
  <c r="C7" i="10" s="1"/>
  <c r="E7" i="10" s="1"/>
  <c r="F26" i="7"/>
  <c r="I32" i="7"/>
  <c r="I28" i="7"/>
  <c r="L26" i="7"/>
  <c r="I25" i="7"/>
  <c r="L28" i="7"/>
  <c r="F31" i="7"/>
  <c r="L32" i="7"/>
  <c r="I31" i="7"/>
  <c r="C33" i="7"/>
  <c r="C10" i="10" s="1"/>
  <c r="E10" i="10" s="1"/>
  <c r="C28" i="7"/>
  <c r="C6" i="10" s="1"/>
  <c r="E6" i="10" s="1"/>
  <c r="I26" i="7"/>
  <c r="C18" i="7"/>
  <c r="C22" i="7"/>
  <c r="C17" i="7"/>
  <c r="C21" i="7"/>
  <c r="C16" i="7"/>
  <c r="C20" i="7"/>
  <c r="C15" i="7"/>
  <c r="F14" i="7"/>
  <c r="F18" i="7"/>
  <c r="F22" i="7"/>
  <c r="F17" i="7"/>
  <c r="F21" i="7"/>
  <c r="F16" i="7"/>
  <c r="F20" i="7"/>
  <c r="F15" i="7"/>
  <c r="H14" i="7"/>
  <c r="H18" i="7"/>
  <c r="H22" i="7"/>
  <c r="H17" i="7"/>
  <c r="H21" i="7"/>
  <c r="H16" i="7"/>
  <c r="H20" i="7"/>
  <c r="H15" i="7"/>
  <c r="L14" i="7"/>
  <c r="L18" i="7"/>
  <c r="L22" i="7"/>
  <c r="L17" i="7"/>
  <c r="L21" i="7"/>
  <c r="L16" i="7"/>
  <c r="L20" i="7"/>
  <c r="L15" i="7"/>
  <c r="C14" i="7"/>
  <c r="I14" i="7"/>
  <c r="I18" i="7"/>
  <c r="I22" i="7"/>
  <c r="I17" i="7"/>
  <c r="I21" i="7"/>
  <c r="I16" i="7"/>
  <c r="I20" i="7"/>
  <c r="I15" i="7"/>
  <c r="P5" i="7" l="1"/>
  <c r="P6" i="7" s="1"/>
  <c r="E3" i="10"/>
  <c r="E11" i="10" s="1"/>
  <c r="C11" i="10"/>
  <c r="H10" i="7"/>
  <c r="F10" i="7"/>
  <c r="C10" i="7"/>
  <c r="D10" i="7" s="1"/>
  <c r="D11" i="7" s="1"/>
  <c r="L10" i="7"/>
  <c r="C9" i="7"/>
  <c r="F9" i="7"/>
  <c r="H9" i="7"/>
  <c r="L9" i="7"/>
  <c r="C6" i="7"/>
  <c r="C5" i="7"/>
  <c r="D8" i="7" s="1"/>
  <c r="B8" i="7" s="1"/>
  <c r="F5" i="7"/>
  <c r="G5" i="7" s="1"/>
  <c r="H5" i="7"/>
  <c r="L5" i="7"/>
  <c r="M5" i="7" s="1"/>
  <c r="M6" i="7" s="1"/>
  <c r="D5" i="7" l="1"/>
  <c r="D6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C523B-D7AA-4333-9A58-2B3B2B34571A}" name="Consulta - comissoes" description="Ligação à consulta 'comissoes' no livro." type="100" refreshedVersion="8" minRefreshableVersion="5">
    <extLst>
      <ext xmlns:x15="http://schemas.microsoft.com/office/spreadsheetml/2010/11/main" uri="{DE250136-89BD-433C-8126-D09CA5730AF9}">
        <x15:connection id="b2fdd4f2-9e4c-461c-934d-76aa07dfec80"/>
      </ext>
    </extLst>
  </connection>
  <connection id="2" xr16:uid="{513F3030-9581-4018-9A53-6DC6C18B6DB9}" name="Consulta - import data" description="Ligação à consulta 'import data' no livro." type="100" refreshedVersion="8" minRefreshableVersion="5" refreshOnLoad="1" saveData="1">
    <extLst>
      <ext xmlns:x15="http://schemas.microsoft.com/office/spreadsheetml/2010/11/main" uri="{DE250136-89BD-433C-8126-D09CA5730AF9}">
        <x15:connection id="348b4dae-4d50-4d51-a258-e7dbbf7dcdaa"/>
      </ext>
    </extLst>
  </connection>
  <connection id="3" xr16:uid="{4EBD6821-7E2D-4134-B57A-6689DCEB4AED}" name="Consulta - jogos" description="Ligação à consulta 'jogos' no livro." type="100" refreshedVersion="8" minRefreshableVersion="5">
    <extLst>
      <ext xmlns:x15="http://schemas.microsoft.com/office/spreadsheetml/2010/11/main" uri="{DE250136-89BD-433C-8126-D09CA5730AF9}">
        <x15:connection id="5f911c4e-c481-49dc-be70-285b9187ae23"/>
      </ext>
    </extLst>
  </connection>
  <connection id="4" xr16:uid="{733FB1F2-FFE2-4A23-85FE-8B70A303C36E}" name="Consulta - objectivos" description="Ligação à consulta 'objectivos' no livro." type="100" refreshedVersion="8" minRefreshableVersion="5">
    <extLst>
      <ext xmlns:x15="http://schemas.microsoft.com/office/spreadsheetml/2010/11/main" uri="{DE250136-89BD-433C-8126-D09CA5730AF9}">
        <x15:connection id="9f3f398b-09a2-49b6-9812-86cda91778a9"/>
      </ext>
    </extLst>
  </connection>
  <connection id="5" xr16:uid="{D6423FEF-5645-48D0-8AB3-D4623BC10A81}" name="Consulta - prestacao" description="Ligação à consulta 'prestacao' no livro." type="100" refreshedVersion="8" minRefreshableVersion="5" refreshOnLoad="1" saveData="1">
    <extLst>
      <ext xmlns:x15="http://schemas.microsoft.com/office/spreadsheetml/2010/11/main" uri="{DE250136-89BD-433C-8126-D09CA5730AF9}">
        <x15:connection id="377aa142-56e4-462f-a903-b016dbc3bcaf"/>
      </ext>
    </extLst>
  </connection>
  <connection id="6" xr16:uid="{ADAF3501-F866-4657-AD4A-10A82F94703C}" name="Ligação" type="104" refreshedVersion="0" background="1">
    <extLst>
      <ext xmlns:x15="http://schemas.microsoft.com/office/spreadsheetml/2010/11/main" uri="{DE250136-89BD-433C-8126-D09CA5730AF9}">
        <x15:connection id="Calendário"/>
      </ext>
    </extLst>
  </connection>
  <connection id="7" xr16:uid="{E2109DC7-D032-48A7-8F4C-DDD03509462D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<sst xmlns="http://schemas.openxmlformats.org/spreadsheetml/2006/main" count="149" uniqueCount="77">
  <si>
    <t>Análise Jogos Santa Casa</t>
  </si>
  <si>
    <t>Vendas</t>
  </si>
  <si>
    <t>Objectivos</t>
  </si>
  <si>
    <t>Var %</t>
  </si>
  <si>
    <t>Var €</t>
  </si>
  <si>
    <t>semana</t>
  </si>
  <si>
    <t>semana anterior</t>
  </si>
  <si>
    <t>tendencia</t>
  </si>
  <si>
    <t>mês</t>
  </si>
  <si>
    <t>anual</t>
  </si>
  <si>
    <t>ano anterior</t>
  </si>
  <si>
    <t>por semana</t>
  </si>
  <si>
    <t>Hípicas</t>
  </si>
  <si>
    <t>por ano</t>
  </si>
  <si>
    <t>Semanais</t>
  </si>
  <si>
    <t>Anuais</t>
  </si>
  <si>
    <t>Var</t>
  </si>
  <si>
    <t>Var E</t>
  </si>
  <si>
    <t>Por data</t>
  </si>
  <si>
    <t>Por Jogo</t>
  </si>
  <si>
    <t>Raspadinha</t>
  </si>
  <si>
    <t>Euromilhões</t>
  </si>
  <si>
    <t>Euromilhões + Milhão</t>
  </si>
  <si>
    <t>Placard</t>
  </si>
  <si>
    <t>ano</t>
  </si>
  <si>
    <t>Eurodreams</t>
  </si>
  <si>
    <t>Totoloto</t>
  </si>
  <si>
    <t>Popular</t>
  </si>
  <si>
    <t>Clássica</t>
  </si>
  <si>
    <t>Totobola</t>
  </si>
  <si>
    <t>Hipicas</t>
  </si>
  <si>
    <t>Semana</t>
  </si>
  <si>
    <t>TotalVendas</t>
  </si>
  <si>
    <t>TotalObjectivos</t>
  </si>
  <si>
    <t>Var%</t>
  </si>
  <si>
    <t>VarEuros</t>
  </si>
  <si>
    <t>Total Geral</t>
  </si>
  <si>
    <t>Jogo</t>
  </si>
  <si>
    <t>Comissões</t>
  </si>
  <si>
    <t>Total Apurado</t>
  </si>
  <si>
    <t>Total</t>
  </si>
  <si>
    <t>VendasSemanaAnterior</t>
  </si>
  <si>
    <t>VendasYTD</t>
  </si>
  <si>
    <t>ObjectivosYTD</t>
  </si>
  <si>
    <t>VendasMTD</t>
  </si>
  <si>
    <t>ObjectivosMTD</t>
  </si>
  <si>
    <t>VendasWTD</t>
  </si>
  <si>
    <t>ObjectivosWTD</t>
  </si>
  <si>
    <t>VendasLWTD</t>
  </si>
  <si>
    <t>Rótulos de Linha</t>
  </si>
  <si>
    <t>Prestação</t>
  </si>
  <si>
    <t>PrestaçãoYTD</t>
  </si>
  <si>
    <t>PrestaçãoMTD</t>
  </si>
  <si>
    <t>PrestaçãoLWTD</t>
  </si>
  <si>
    <t>VendasLYTD</t>
  </si>
  <si>
    <t>VendasLYSWTD</t>
  </si>
  <si>
    <t>swly</t>
  </si>
  <si>
    <t>Soma de Vendas</t>
  </si>
  <si>
    <t>PrestacaoWTD</t>
  </si>
  <si>
    <t>Comissões €</t>
  </si>
  <si>
    <t>Comissão €</t>
  </si>
  <si>
    <t>PrestaçãoLYSWTD</t>
  </si>
  <si>
    <t>PrestaçãoLYTD</t>
  </si>
  <si>
    <t>(em branco)</t>
  </si>
  <si>
    <t>ComissãoYTD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</si>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</sst>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#,##0\ &quot;€&quot;;[Red]\-#,##0\ &quot;€&quot;"/>
    <numFmt numFmtId="164" formatCode="&quot;€&quot;#,##0_);\(&quot;€&quot;#,##0\)"/>
    <numFmt numFmtId="165" formatCode="&quot;€&quot;#,##0_);[Red]\(&quot;€&quot;#,##0\)"/>
    <numFmt numFmtId="166" formatCode="#,##0\ &quot;€&quot;"/>
    <numFmt numFmtId="167" formatCode="0.0%;\-0.0%;0.0%"/>
    <numFmt numFmtId="168" formatCode="0.0%"/>
    <numFmt numFmtId="169" formatCode="_-* #,##0.00\ [$€-816]_-;\-* #,##0.00\ [$€-816]_-;_-* &quot;-&quot;??\ [$€-816]_-;_-@_-"/>
    <numFmt numFmtId="170" formatCode="#,##0.00\ &quot;€&quot;"/>
    <numFmt numFmtId="171" formatCode="#,##0\ _€;[Red]\-#,##0\ _€"/>
    <numFmt numFmtId="172" formatCode="#,##0\ &quot;€&quot;;\-#,##0\ &quot;€&quot;;#,##0\ &quot;€&quot;"/>
    <numFmt numFmtId="173" formatCode="#,##0.00\ &quot;€&quot;;\-#,##0.00\ &quot;€&quot;;#,##0.00\ &quot;€&quot;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theme="1"/>
      <name val="Daytona"/>
      <family val="2"/>
    </font>
    <font>
      <i/>
      <sz val="11"/>
      <color theme="1"/>
      <name val="Aptos Narrow"/>
      <family val="2"/>
      <scheme val="minor"/>
    </font>
    <font>
      <sz val="7"/>
      <color theme="0" tint="-0.34998626667073579"/>
      <name val="Segoe UI Light"/>
      <family val="2"/>
    </font>
    <font>
      <sz val="11"/>
      <color theme="1"/>
      <name val="Segoe UI Semibold"/>
      <family val="2"/>
    </font>
    <font>
      <sz val="13"/>
      <color theme="1"/>
      <name val="Segoe UI Semibold"/>
      <family val="2"/>
    </font>
    <font>
      <sz val="9"/>
      <color theme="1" tint="0.34998626667073579"/>
      <name val="Segoe UI"/>
      <family val="2"/>
    </font>
    <font>
      <sz val="10"/>
      <color theme="1"/>
      <name val="Segoe UI Semibold"/>
      <family val="2"/>
    </font>
    <font>
      <sz val="9"/>
      <color theme="1"/>
      <name val="Segoe UI Semibold"/>
      <family val="2"/>
    </font>
    <font>
      <sz val="12"/>
      <color theme="1"/>
      <name val="Segoe UI Semibold"/>
      <family val="2"/>
    </font>
    <font>
      <sz val="8"/>
      <color theme="1"/>
      <name val="Aptos Narrow"/>
      <family val="2"/>
      <scheme val="minor"/>
    </font>
    <font>
      <sz val="6"/>
      <color theme="0" tint="-0.499984740745262"/>
      <name val="Aptos Narrow"/>
      <family val="2"/>
      <scheme val="minor"/>
    </font>
    <font>
      <sz val="6"/>
      <color theme="3" tint="0.499984740745262"/>
      <name val="Segoe UI Light"/>
      <family val="2"/>
    </font>
    <font>
      <sz val="8"/>
      <color theme="1"/>
      <name val="Segoe UI Semibold"/>
      <family val="2"/>
    </font>
    <font>
      <sz val="18"/>
      <color theme="1"/>
      <name val="Aptos Narrow"/>
      <family val="2"/>
      <scheme val="minor"/>
    </font>
    <font>
      <sz val="7"/>
      <color theme="2" tint="-0.499984740745262"/>
      <name val="Segoe UI Light"/>
      <family val="2"/>
    </font>
    <font>
      <sz val="11"/>
      <color theme="1" tint="0.34998626667073579"/>
      <name val="Segoe UI Semibold"/>
      <family val="2"/>
    </font>
    <font>
      <b/>
      <sz val="11"/>
      <color theme="1"/>
      <name val="Aptos Narrow"/>
      <family val="2"/>
      <scheme val="minor"/>
    </font>
    <font>
      <sz val="9"/>
      <color theme="1"/>
      <name val="Daytona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6795556505021"/>
      </bottom>
      <diagonal/>
    </border>
    <border>
      <left/>
      <right/>
      <top style="thin">
        <color theme="0" tint="-0.14990691854609822"/>
      </top>
      <bottom style="thin">
        <color theme="0" tint="-0.14996795556505021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6795556505021"/>
      </bottom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/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/>
      <top/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149906918546098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458815271462"/>
      </bottom>
      <diagonal/>
    </border>
    <border>
      <left/>
      <right/>
      <top style="thin">
        <color theme="0" tint="-0.1498764000366222"/>
      </top>
      <bottom style="thin">
        <color theme="0" tint="-0.1498458815271462"/>
      </bottom>
      <diagonal/>
    </border>
    <border>
      <left/>
      <right style="thin">
        <color theme="0" tint="-0.1498764000366222"/>
      </right>
      <top style="thin">
        <color theme="0" tint="-0.1498764000366222"/>
      </top>
      <bottom style="thin">
        <color theme="0" tint="-0.1498458815271462"/>
      </bottom>
      <diagonal/>
    </border>
    <border>
      <left style="thin">
        <color theme="0" tint="-0.1498458815271462"/>
      </left>
      <right/>
      <top style="thin">
        <color theme="0" tint="-0.1498458815271462"/>
      </top>
      <bottom style="thin">
        <color theme="0" tint="-0.1498458815271462"/>
      </bottom>
      <diagonal/>
    </border>
    <border>
      <left/>
      <right/>
      <top style="thin">
        <color theme="0" tint="-0.1498458815271462"/>
      </top>
      <bottom style="thin">
        <color theme="0" tint="-0.1498458815271462"/>
      </bottom>
      <diagonal/>
    </border>
    <border>
      <left/>
      <right style="thin">
        <color theme="0" tint="-0.1498458815271462"/>
      </right>
      <top style="thin">
        <color theme="0" tint="-0.1498458815271462"/>
      </top>
      <bottom style="thin">
        <color theme="0" tint="-0.1498458815271462"/>
      </bottom>
      <diagonal/>
    </border>
    <border>
      <left style="thin">
        <color theme="0" tint="-0.1498458815271462"/>
      </left>
      <right/>
      <top/>
      <bottom/>
      <diagonal/>
    </border>
    <border>
      <left/>
      <right style="thin">
        <color theme="0" tint="-0.1498458815271462"/>
      </right>
      <top/>
      <bottom/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/>
      <top/>
      <bottom style="thin">
        <color theme="0" tint="-0.1498458815271462"/>
      </bottom>
      <diagonal/>
    </border>
    <border>
      <left/>
      <right style="thin">
        <color theme="0" tint="-0.1498458815271462"/>
      </right>
      <top/>
      <bottom style="thin">
        <color theme="0" tint="-0.1498458815271462"/>
      </bottom>
      <diagonal/>
    </border>
    <border>
      <left style="thin">
        <color theme="0" tint="-0.14990691854609822"/>
      </left>
      <right/>
      <top/>
      <bottom style="thin">
        <color theme="0" tint="-0.1498764000366222"/>
      </bottom>
      <diagonal/>
    </border>
    <border>
      <left/>
      <right style="thin">
        <color theme="0" tint="-0.14990691854609822"/>
      </right>
      <top/>
      <bottom style="thin">
        <color theme="0" tint="-0.1498764000366222"/>
      </bottom>
      <diagonal/>
    </border>
    <border>
      <left style="thin">
        <color theme="0" tint="-0.14981536301767021"/>
      </left>
      <right/>
      <top style="thin">
        <color theme="0" tint="-0.14981536301767021"/>
      </top>
      <bottom style="thin">
        <color theme="0" tint="-0.14981536301767021"/>
      </bottom>
      <diagonal/>
    </border>
    <border>
      <left/>
      <right/>
      <top style="thin">
        <color theme="0" tint="-0.14981536301767021"/>
      </top>
      <bottom style="thin">
        <color theme="0" tint="-0.14981536301767021"/>
      </bottom>
      <diagonal/>
    </border>
    <border>
      <left/>
      <right style="thin">
        <color theme="0" tint="-0.14981536301767021"/>
      </right>
      <top style="thin">
        <color theme="0" tint="-0.14981536301767021"/>
      </top>
      <bottom style="thin">
        <color theme="0" tint="-0.14981536301767021"/>
      </bottom>
      <diagonal/>
    </border>
    <border>
      <left/>
      <right style="thin">
        <color theme="0" tint="-0.14990691854609822"/>
      </right>
      <top/>
      <bottom style="thin">
        <color theme="0" tint="-0.1498458815271462"/>
      </bottom>
      <diagonal/>
    </border>
    <border>
      <left style="thin">
        <color theme="0" tint="-0.1499069185460982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90691854609822"/>
      </right>
      <top style="thin">
        <color theme="0" tint="-0.1498764000366222"/>
      </top>
      <bottom/>
      <diagonal/>
    </border>
    <border>
      <left/>
      <right style="thin">
        <color theme="0" tint="-0.14981536301767021"/>
      </right>
      <top style="thin">
        <color theme="0" tint="-0.1498458815271462"/>
      </top>
      <bottom style="thin">
        <color theme="0" tint="-0.1498458815271462"/>
      </bottom>
      <diagonal/>
    </border>
    <border>
      <left/>
      <right style="thin">
        <color theme="0" tint="-0.14981536301767021"/>
      </right>
      <top/>
      <bottom/>
      <diagonal/>
    </border>
    <border>
      <left/>
      <right style="thin">
        <color theme="0" tint="-0.14981536301767021"/>
      </right>
      <top/>
      <bottom style="thin">
        <color theme="0" tint="-0.14984588152714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right" vertical="center" inden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10" fillId="0" borderId="0" xfId="0" applyNumberFormat="1" applyFont="1" applyAlignment="1">
      <alignment vertical="center"/>
    </xf>
    <xf numFmtId="0" fontId="0" fillId="0" borderId="10" xfId="0" applyBorder="1"/>
    <xf numFmtId="9" fontId="12" fillId="0" borderId="11" xfId="1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9" fontId="0" fillId="0" borderId="6" xfId="1" applyFont="1" applyBorder="1"/>
    <xf numFmtId="9" fontId="10" fillId="0" borderId="0" xfId="1" applyFont="1" applyBorder="1" applyAlignment="1">
      <alignment vertical="center"/>
    </xf>
    <xf numFmtId="9" fontId="0" fillId="0" borderId="7" xfId="1" applyFont="1" applyBorder="1"/>
    <xf numFmtId="9" fontId="0" fillId="0" borderId="8" xfId="1" applyFont="1" applyBorder="1"/>
    <xf numFmtId="9" fontId="7" fillId="0" borderId="12" xfId="1" applyFont="1" applyBorder="1" applyAlignment="1">
      <alignment vertical="center"/>
    </xf>
    <xf numFmtId="9" fontId="0" fillId="0" borderId="9" xfId="1" applyFont="1" applyBorder="1"/>
    <xf numFmtId="9" fontId="13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 vertical="center" indent="1"/>
    </xf>
    <xf numFmtId="0" fontId="0" fillId="0" borderId="16" xfId="0" applyBorder="1"/>
    <xf numFmtId="9" fontId="10" fillId="0" borderId="0" xfId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9" fontId="15" fillId="0" borderId="30" xfId="1" applyFont="1" applyBorder="1" applyAlignment="1">
      <alignment horizontal="center" vertical="center"/>
    </xf>
    <xf numFmtId="169" fontId="0" fillId="0" borderId="0" xfId="0" applyNumberFormat="1"/>
    <xf numFmtId="168" fontId="0" fillId="0" borderId="0" xfId="1" applyNumberFormat="1" applyFont="1"/>
    <xf numFmtId="170" fontId="0" fillId="0" borderId="0" xfId="0" applyNumberFormat="1"/>
    <xf numFmtId="0" fontId="8" fillId="0" borderId="0" xfId="0" applyFont="1" applyAlignment="1">
      <alignment horizontal="center" vertical="center"/>
    </xf>
    <xf numFmtId="0" fontId="16" fillId="0" borderId="0" xfId="0" applyFont="1"/>
    <xf numFmtId="169" fontId="16" fillId="0" borderId="0" xfId="0" applyNumberFormat="1" applyFont="1"/>
    <xf numFmtId="168" fontId="16" fillId="0" borderId="0" xfId="1" applyNumberFormat="1" applyFont="1"/>
    <xf numFmtId="0" fontId="17" fillId="0" borderId="0" xfId="0" applyFont="1" applyAlignment="1">
      <alignment horizontal="right" vertical="center" indent="1"/>
    </xf>
    <xf numFmtId="0" fontId="17" fillId="0" borderId="0" xfId="0" applyFont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9" fontId="13" fillId="0" borderId="34" xfId="0" applyNumberFormat="1" applyFont="1" applyBorder="1" applyAlignment="1">
      <alignment horizontal="center" vertical="center"/>
    </xf>
    <xf numFmtId="9" fontId="12" fillId="0" borderId="36" xfId="1" applyFont="1" applyBorder="1" applyAlignment="1">
      <alignment horizontal="center" vertical="center"/>
    </xf>
    <xf numFmtId="6" fontId="7" fillId="0" borderId="1" xfId="0" applyNumberFormat="1" applyFont="1" applyBorder="1" applyAlignment="1">
      <alignment vertical="center"/>
    </xf>
    <xf numFmtId="6" fontId="10" fillId="0" borderId="0" xfId="0" applyNumberFormat="1" applyFont="1" applyAlignment="1">
      <alignment vertical="center"/>
    </xf>
    <xf numFmtId="6" fontId="9" fillId="0" borderId="0" xfId="0" applyNumberFormat="1" applyFont="1" applyAlignment="1">
      <alignment vertical="center"/>
    </xf>
    <xf numFmtId="6" fontId="9" fillId="0" borderId="19" xfId="0" applyNumberFormat="1" applyFont="1" applyBorder="1" applyAlignment="1">
      <alignment vertical="center"/>
    </xf>
    <xf numFmtId="6" fontId="10" fillId="0" borderId="35" xfId="0" applyNumberFormat="1" applyFont="1" applyBorder="1" applyAlignment="1">
      <alignment vertical="center"/>
    </xf>
    <xf numFmtId="6" fontId="6" fillId="0" borderId="19" xfId="0" applyNumberFormat="1" applyFont="1" applyBorder="1" applyAlignment="1">
      <alignment vertical="center"/>
    </xf>
    <xf numFmtId="6" fontId="18" fillId="0" borderId="12" xfId="0" applyNumberFormat="1" applyFont="1" applyBorder="1" applyAlignment="1">
      <alignment vertical="center"/>
    </xf>
    <xf numFmtId="171" fontId="0" fillId="0" borderId="0" xfId="0" applyNumberFormat="1"/>
    <xf numFmtId="171" fontId="0" fillId="0" borderId="30" xfId="0" applyNumberFormat="1" applyBorder="1"/>
    <xf numFmtId="6" fontId="6" fillId="0" borderId="14" xfId="0" applyNumberFormat="1" applyFont="1" applyBorder="1" applyAlignment="1">
      <alignment vertical="center"/>
    </xf>
    <xf numFmtId="6" fontId="9" fillId="0" borderId="30" xfId="0" applyNumberFormat="1" applyFont="1" applyBorder="1" applyAlignment="1">
      <alignment vertical="center"/>
    </xf>
    <xf numFmtId="9" fontId="13" fillId="0" borderId="37" xfId="0" applyNumberFormat="1" applyFont="1" applyBorder="1" applyAlignment="1">
      <alignment horizontal="center" vertical="center"/>
    </xf>
    <xf numFmtId="0" fontId="0" fillId="0" borderId="38" xfId="0" applyBorder="1"/>
    <xf numFmtId="6" fontId="11" fillId="0" borderId="39" xfId="0" applyNumberFormat="1" applyFont="1" applyBorder="1" applyAlignment="1">
      <alignment vertical="center"/>
    </xf>
    <xf numFmtId="9" fontId="12" fillId="0" borderId="40" xfId="1" applyFont="1" applyBorder="1" applyAlignment="1">
      <alignment horizontal="center" vertical="center"/>
    </xf>
    <xf numFmtId="0" fontId="0" fillId="0" borderId="40" xfId="0" applyBorder="1"/>
    <xf numFmtId="171" fontId="0" fillId="0" borderId="42" xfId="0" applyNumberFormat="1" applyBorder="1"/>
    <xf numFmtId="171" fontId="0" fillId="0" borderId="43" xfId="0" applyNumberFormat="1" applyBorder="1"/>
    <xf numFmtId="6" fontId="19" fillId="0" borderId="0" xfId="0" applyNumberFormat="1" applyFont="1"/>
    <xf numFmtId="6" fontId="0" fillId="0" borderId="0" xfId="0" applyNumberFormat="1"/>
    <xf numFmtId="6" fontId="0" fillId="0" borderId="19" xfId="0" applyNumberFormat="1" applyBorder="1"/>
    <xf numFmtId="9" fontId="16" fillId="0" borderId="0" xfId="1" applyFont="1"/>
    <xf numFmtId="9" fontId="16" fillId="0" borderId="0" xfId="0" applyNumberFormat="1" applyFont="1"/>
    <xf numFmtId="0" fontId="20" fillId="0" borderId="0" xfId="0" pivotButton="1" applyFont="1"/>
    <xf numFmtId="0" fontId="20" fillId="0" borderId="0" xfId="0" applyFont="1"/>
    <xf numFmtId="0" fontId="20" fillId="0" borderId="0" xfId="0" applyFont="1" applyAlignment="1">
      <alignment horizontal="left"/>
    </xf>
    <xf numFmtId="6" fontId="0" fillId="0" borderId="10" xfId="0" applyNumberFormat="1" applyBorder="1"/>
    <xf numFmtId="6" fontId="12" fillId="0" borderId="11" xfId="1" applyNumberFormat="1" applyFont="1" applyBorder="1" applyAlignment="1">
      <alignment horizontal="center" vertical="center"/>
    </xf>
    <xf numFmtId="6" fontId="0" fillId="0" borderId="6" xfId="0" applyNumberFormat="1" applyBorder="1"/>
    <xf numFmtId="6" fontId="12" fillId="0" borderId="36" xfId="1" applyNumberFormat="1" applyFont="1" applyBorder="1" applyAlignment="1">
      <alignment horizontal="center" vertical="center"/>
    </xf>
    <xf numFmtId="6" fontId="0" fillId="0" borderId="13" xfId="0" applyNumberFormat="1" applyBorder="1"/>
    <xf numFmtId="6" fontId="0" fillId="0" borderId="15" xfId="0" applyNumberFormat="1" applyBorder="1"/>
    <xf numFmtId="0" fontId="20" fillId="0" borderId="0" xfId="0" applyFont="1" applyAlignment="1">
      <alignment horizontal="left" indent="1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9" fontId="10" fillId="0" borderId="0" xfId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6" fontId="0" fillId="0" borderId="6" xfId="0" applyNumberFormat="1" applyBorder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6" fontId="0" fillId="0" borderId="7" xfId="0" applyNumberFormat="1" applyBorder="1" applyAlignment="1">
      <alignment horizontal="center" vertical="center"/>
    </xf>
    <xf numFmtId="9" fontId="7" fillId="0" borderId="10" xfId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9" fontId="7" fillId="0" borderId="11" xfId="1" applyFont="1" applyBorder="1" applyAlignment="1">
      <alignment horizontal="center" vertical="center"/>
    </xf>
    <xf numFmtId="9" fontId="6" fillId="0" borderId="13" xfId="1" applyFont="1" applyBorder="1" applyAlignment="1">
      <alignment horizontal="center" vertical="center"/>
    </xf>
    <xf numFmtId="9" fontId="6" fillId="0" borderId="14" xfId="1" applyFont="1" applyBorder="1" applyAlignment="1">
      <alignment horizontal="center" vertical="center"/>
    </xf>
    <xf numFmtId="9" fontId="6" fillId="0" borderId="15" xfId="1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9" fontId="15" fillId="0" borderId="19" xfId="1" applyFont="1" applyBorder="1" applyAlignment="1">
      <alignment horizontal="center" vertical="center"/>
    </xf>
    <xf numFmtId="9" fontId="11" fillId="0" borderId="38" xfId="1" applyFont="1" applyBorder="1" applyAlignment="1">
      <alignment horizontal="center" vertical="center"/>
    </xf>
    <xf numFmtId="9" fontId="11" fillId="0" borderId="39" xfId="1" applyFont="1" applyBorder="1" applyAlignment="1">
      <alignment horizontal="center" vertical="center"/>
    </xf>
    <xf numFmtId="9" fontId="11" fillId="0" borderId="40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172" fontId="0" fillId="0" borderId="0" xfId="0" applyNumberFormat="1"/>
    <xf numFmtId="173" fontId="0" fillId="0" borderId="0" xfId="0" applyNumberFormat="1"/>
    <xf numFmtId="172" fontId="20" fillId="0" borderId="0" xfId="0" applyNumberFormat="1" applyFont="1"/>
    <xf numFmtId="0" fontId="0" fillId="0" borderId="0" xfId="0" applyNumberFormat="1"/>
    <xf numFmtId="0" fontId="20" fillId="0" borderId="0" xfId="0" applyNumberFormat="1" applyFont="1"/>
    <xf numFmtId="173" fontId="20" fillId="0" borderId="0" xfId="0" applyNumberFormat="1" applyFont="1"/>
  </cellXfs>
  <cellStyles count="2">
    <cellStyle name="Normal" xfId="0" builtinId="0"/>
    <cellStyle name="Percentagem" xfId="1" builtinId="5"/>
  </cellStyles>
  <dxfs count="31">
    <dxf>
      <font>
        <sz val="9"/>
      </font>
    </dxf>
    <dxf>
      <font>
        <sz val="9"/>
      </font>
    </dxf>
    <dxf>
      <font>
        <sz val="9"/>
      </font>
    </dxf>
    <dxf>
      <font>
        <name val="Daytona"/>
      </font>
    </dxf>
    <dxf>
      <font>
        <name val="Daytona"/>
      </font>
    </dxf>
    <dxf>
      <font>
        <name val="Daytona"/>
      </font>
    </dxf>
    <dxf>
      <numFmt numFmtId="166" formatCode="#,##0\ &quot;€&quot;"/>
    </dxf>
    <dxf>
      <numFmt numFmtId="166" formatCode="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69" formatCode="_-* #,##0.00\ [$€-816]_-;\-* #,##0.00\ [$€-816]_-;_-* &quot;-&quot;??\ [$€-816]_-;_-@_-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69" formatCode="_-* #,##0.00\ [$€-816]_-;\-* #,##0.00\ [$€-816]_-;_-* &quot;-&quot;??\ [$€-816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68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69" formatCode="_-* #,##0.00\ [$€-816]_-;\-* #,##0.00\ [$€-816]_-;_-* &quot;-&quot;??\ [$€-816]_-;_-@_-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69" formatCode="_-* #,##0.00\ [$€-816]_-;\-* #,##0.00\ [$€-816]_-;_-* &quot;-&quot;??\ [$€-816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Daytona"/>
      </font>
    </dxf>
    <dxf>
      <font>
        <name val="Daytona"/>
      </font>
    </dxf>
    <dxf>
      <font>
        <name val="Daytona"/>
      </font>
    </dxf>
    <dxf>
      <font>
        <name val="Daytona"/>
      </font>
    </dxf>
    <dxf>
      <font>
        <name val="Daytona"/>
      </font>
    </dxf>
    <dxf>
      <font>
        <b val="0"/>
        <i val="0"/>
        <strike val="0"/>
        <u val="none"/>
        <sz val="8"/>
        <name val="Aptos Display"/>
        <family val="2"/>
        <scheme val="major"/>
      </font>
    </dxf>
    <dxf>
      <font>
        <sz val="8"/>
      </font>
    </dxf>
  </dxfs>
  <tableStyles count="1" defaultTableStyle="TableStyleMedium2" defaultPivotStyle="PivotStyleMedium15">
    <tableStyle name="SlicerStyleOther1 2" pivot="0" table="0" count="10" xr9:uid="{BFC5F23D-8EB0-487E-B59D-4B13F5947905}">
      <tableStyleElement type="wholeTable" dxfId="30"/>
      <tableStyleElement type="headerRow" dxfId="29"/>
    </tableStyle>
  </tableStyles>
  <colors>
    <mruColors>
      <color rgb="FFFF99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Other1 2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onnections" Target="connections.xml"/><Relationship Id="rId21" Type="http://schemas.microsoft.com/office/2007/relationships/slicerCache" Target="slicerCaches/slicerCache1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63" Type="http://schemas.openxmlformats.org/officeDocument/2006/relationships/customXml" Target="../customXml/item32.xml"/><Relationship Id="rId68" Type="http://schemas.openxmlformats.org/officeDocument/2006/relationships/customXml" Target="../customXml/item37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40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powerPivotData" Target="model/item.data"/><Relationship Id="rId11" Type="http://schemas.openxmlformats.org/officeDocument/2006/relationships/pivotCacheDefinition" Target="pivotCache/pivotCacheDefinition4.xml"/><Relationship Id="rId24" Type="http://schemas.microsoft.com/office/2007/relationships/slicerCache" Target="slicerCaches/slicerCache4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66" Type="http://schemas.openxmlformats.org/officeDocument/2006/relationships/customXml" Target="../customXml/item35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0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22" Type="http://schemas.microsoft.com/office/2007/relationships/slicerCache" Target="slicerCaches/slicerCache2.xml"/><Relationship Id="rId27" Type="http://schemas.openxmlformats.org/officeDocument/2006/relationships/styles" Target="styles.xml"/><Relationship Id="rId30" Type="http://schemas.microsoft.com/office/2017/10/relationships/person" Target="persons/person.xml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64" Type="http://schemas.openxmlformats.org/officeDocument/2006/relationships/customXml" Target="../customXml/item33.xml"/><Relationship Id="rId69" Type="http://schemas.openxmlformats.org/officeDocument/2006/relationships/customXml" Target="../customXml/item38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59" Type="http://schemas.openxmlformats.org/officeDocument/2006/relationships/customXml" Target="../customXml/item28.xml"/><Relationship Id="rId67" Type="http://schemas.openxmlformats.org/officeDocument/2006/relationships/customXml" Target="../customXml/item36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62" Type="http://schemas.openxmlformats.org/officeDocument/2006/relationships/customXml" Target="../customXml/item31.xml"/><Relationship Id="rId70" Type="http://schemas.openxmlformats.org/officeDocument/2006/relationships/customXml" Target="../customXml/item3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microsoft.com/office/2007/relationships/slicerCache" Target="slicerCaches/slicerCache3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3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60" Type="http://schemas.openxmlformats.org/officeDocument/2006/relationships/customXml" Target="../customXml/item29.xml"/><Relationship Id="rId65" Type="http://schemas.openxmlformats.org/officeDocument/2006/relationships/customXml" Target="../customXml/item3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9" Type="http://schemas.openxmlformats.org/officeDocument/2006/relationships/customXml" Target="../customXml/item8.xml"/><Relationship Id="rId34" Type="http://schemas.openxmlformats.org/officeDocument/2006/relationships/customXml" Target="../customXml/item3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jogos santa casa v2.xlsx]vendas vs objectivos!vendasVSobjectivos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99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</c:pivotFmt>
      <c:pivotFmt>
        <c:idx val="3"/>
        <c:spPr>
          <a:solidFill>
            <a:schemeClr val="tx1"/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99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968073603106222E-2"/>
          <c:y val="2.8838950460380711E-2"/>
          <c:w val="0.98536678003484113"/>
          <c:h val="0.866982869828574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'vendas vs objectivos'!$C$14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'vendas vs objectivos'!$B$15:$B$75</c:f>
              <c:multiLvlStrCache>
                <c:ptCount val="4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</c:lvl>
                <c:lvl>
                  <c:pt idx="0">
                    <c:v>janeiro</c:v>
                  </c:pt>
                  <c:pt idx="5">
                    <c:v>fevereiro</c:v>
                  </c:pt>
                  <c:pt idx="9">
                    <c:v>março</c:v>
                  </c:pt>
                  <c:pt idx="13">
                    <c:v>abril</c:v>
                  </c:pt>
                  <c:pt idx="17">
                    <c:v>maio</c:v>
                  </c:pt>
                  <c:pt idx="22">
                    <c:v>junho</c:v>
                  </c:pt>
                  <c:pt idx="26">
                    <c:v>julho</c:v>
                  </c:pt>
                  <c:pt idx="30">
                    <c:v>agosto</c:v>
                  </c:pt>
                  <c:pt idx="35">
                    <c:v>setembro</c:v>
                  </c:pt>
                  <c:pt idx="39">
                    <c:v>outubro</c:v>
                  </c:pt>
                  <c:pt idx="44">
                    <c:v>novembro</c:v>
                  </c:pt>
                  <c:pt idx="48">
                    <c:v>dezembro</c:v>
                  </c:pt>
                </c:lvl>
              </c:multiLvlStrCache>
            </c:multiLvlStrRef>
          </c:cat>
          <c:val>
            <c:numRef>
              <c:f>'vendas vs objectivos'!$C$15:$C$75</c:f>
              <c:numCache>
                <c:formatCode>#\ ##0\ "€";\-#\ ##0\ "€";#\ ##0\ "€"</c:formatCode>
                <c:ptCount val="49"/>
                <c:pt idx="0">
                  <c:v>5082</c:v>
                </c:pt>
                <c:pt idx="1">
                  <c:v>5493.5</c:v>
                </c:pt>
                <c:pt idx="2">
                  <c:v>3350</c:v>
                </c:pt>
                <c:pt idx="3">
                  <c:v>5390.5</c:v>
                </c:pt>
                <c:pt idx="4">
                  <c:v>5130</c:v>
                </c:pt>
                <c:pt idx="5">
                  <c:v>3575</c:v>
                </c:pt>
                <c:pt idx="6">
                  <c:v>4797</c:v>
                </c:pt>
                <c:pt idx="7">
                  <c:v>3072.5</c:v>
                </c:pt>
                <c:pt idx="8">
                  <c:v>3291</c:v>
                </c:pt>
                <c:pt idx="9">
                  <c:v>4800</c:v>
                </c:pt>
                <c:pt idx="10">
                  <c:v>5052.5</c:v>
                </c:pt>
                <c:pt idx="11">
                  <c:v>5142</c:v>
                </c:pt>
                <c:pt idx="12">
                  <c:v>3928</c:v>
                </c:pt>
                <c:pt idx="13">
                  <c:v>2996</c:v>
                </c:pt>
                <c:pt idx="14">
                  <c:v>3043.5</c:v>
                </c:pt>
                <c:pt idx="15">
                  <c:v>2798.5</c:v>
                </c:pt>
                <c:pt idx="16">
                  <c:v>3041</c:v>
                </c:pt>
                <c:pt idx="17">
                  <c:v>4256.5</c:v>
                </c:pt>
                <c:pt idx="18">
                  <c:v>3338</c:v>
                </c:pt>
                <c:pt idx="19">
                  <c:v>4144</c:v>
                </c:pt>
                <c:pt idx="20">
                  <c:v>4547</c:v>
                </c:pt>
                <c:pt idx="21">
                  <c:v>4880</c:v>
                </c:pt>
                <c:pt idx="22">
                  <c:v>3461.5</c:v>
                </c:pt>
                <c:pt idx="23">
                  <c:v>3918.5</c:v>
                </c:pt>
                <c:pt idx="24">
                  <c:v>3260.5</c:v>
                </c:pt>
                <c:pt idx="25">
                  <c:v>4553.5</c:v>
                </c:pt>
                <c:pt idx="26">
                  <c:v>3003.5</c:v>
                </c:pt>
                <c:pt idx="27">
                  <c:v>4386.5</c:v>
                </c:pt>
                <c:pt idx="28">
                  <c:v>3092.5</c:v>
                </c:pt>
                <c:pt idx="29">
                  <c:v>4542.5</c:v>
                </c:pt>
                <c:pt idx="30">
                  <c:v>3806</c:v>
                </c:pt>
                <c:pt idx="31">
                  <c:v>255</c:v>
                </c:pt>
                <c:pt idx="32">
                  <c:v>3380</c:v>
                </c:pt>
                <c:pt idx="33">
                  <c:v>3274</c:v>
                </c:pt>
                <c:pt idx="34">
                  <c:v>3245.5</c:v>
                </c:pt>
                <c:pt idx="35">
                  <c:v>4152</c:v>
                </c:pt>
                <c:pt idx="36">
                  <c:v>3174.5</c:v>
                </c:pt>
                <c:pt idx="37">
                  <c:v>4497</c:v>
                </c:pt>
                <c:pt idx="38">
                  <c:v>4831</c:v>
                </c:pt>
                <c:pt idx="39">
                  <c:v>4657.5</c:v>
                </c:pt>
                <c:pt idx="40">
                  <c:v>4906</c:v>
                </c:pt>
                <c:pt idx="41">
                  <c:v>4279</c:v>
                </c:pt>
                <c:pt idx="42">
                  <c:v>4262</c:v>
                </c:pt>
                <c:pt idx="43">
                  <c:v>2570.5</c:v>
                </c:pt>
                <c:pt idx="44">
                  <c:v>4298</c:v>
                </c:pt>
                <c:pt idx="45">
                  <c:v>4236</c:v>
                </c:pt>
                <c:pt idx="46">
                  <c:v>4481.5</c:v>
                </c:pt>
                <c:pt idx="47">
                  <c:v>4152.5</c:v>
                </c:pt>
                <c:pt idx="48">
                  <c:v>5571.5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2-46AA-9CAD-8AB3AD741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16238959"/>
        <c:axId val="116239439"/>
      </c:barChart>
      <c:catAx>
        <c:axId val="116238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6239439"/>
        <c:crosses val="autoZero"/>
        <c:auto val="1"/>
        <c:lblAlgn val="ctr"/>
        <c:lblOffset val="100"/>
        <c:noMultiLvlLbl val="0"/>
      </c:catAx>
      <c:valAx>
        <c:axId val="116239439"/>
        <c:scaling>
          <c:orientation val="minMax"/>
        </c:scaling>
        <c:delete val="1"/>
        <c:axPos val="l"/>
        <c:numFmt formatCode="#\ ##0\ &quot;€&quot;;\-#\ ##0\ &quot;€&quot;;#\ ##0\ &quot;€&quot;" sourceLinked="1"/>
        <c:majorTickMark val="none"/>
        <c:minorTickMark val="none"/>
        <c:tickLblPos val="nextTo"/>
        <c:crossAx val="1162389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jogos santa casa v2.xlsx]vendas vs objectivos!vendasVSobjectivos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'vendas vs objectivos'!$C$14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'vendas vs objectivos'!$B$15:$B$75</c:f>
              <c:multiLvlStrCache>
                <c:ptCount val="4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</c:lvl>
                <c:lvl>
                  <c:pt idx="0">
                    <c:v>janeiro</c:v>
                  </c:pt>
                  <c:pt idx="5">
                    <c:v>fevereiro</c:v>
                  </c:pt>
                  <c:pt idx="9">
                    <c:v>março</c:v>
                  </c:pt>
                  <c:pt idx="13">
                    <c:v>abril</c:v>
                  </c:pt>
                  <c:pt idx="17">
                    <c:v>maio</c:v>
                  </c:pt>
                  <c:pt idx="22">
                    <c:v>junho</c:v>
                  </c:pt>
                  <c:pt idx="26">
                    <c:v>julho</c:v>
                  </c:pt>
                  <c:pt idx="30">
                    <c:v>agosto</c:v>
                  </c:pt>
                  <c:pt idx="35">
                    <c:v>setembro</c:v>
                  </c:pt>
                  <c:pt idx="39">
                    <c:v>outubro</c:v>
                  </c:pt>
                  <c:pt idx="44">
                    <c:v>novembro</c:v>
                  </c:pt>
                  <c:pt idx="48">
                    <c:v>dezembro</c:v>
                  </c:pt>
                </c:lvl>
              </c:multiLvlStrCache>
            </c:multiLvlStrRef>
          </c:cat>
          <c:val>
            <c:numRef>
              <c:f>'vendas vs objectivos'!$C$15:$C$75</c:f>
              <c:numCache>
                <c:formatCode>#\ ##0\ "€";\-#\ ##0\ "€";#\ ##0\ "€"</c:formatCode>
                <c:ptCount val="49"/>
                <c:pt idx="0">
                  <c:v>5082</c:v>
                </c:pt>
                <c:pt idx="1">
                  <c:v>5493.5</c:v>
                </c:pt>
                <c:pt idx="2">
                  <c:v>3350</c:v>
                </c:pt>
                <c:pt idx="3">
                  <c:v>5390.5</c:v>
                </c:pt>
                <c:pt idx="4">
                  <c:v>5130</c:v>
                </c:pt>
                <c:pt idx="5">
                  <c:v>3575</c:v>
                </c:pt>
                <c:pt idx="6">
                  <c:v>4797</c:v>
                </c:pt>
                <c:pt idx="7">
                  <c:v>3072.5</c:v>
                </c:pt>
                <c:pt idx="8">
                  <c:v>3291</c:v>
                </c:pt>
                <c:pt idx="9">
                  <c:v>4800</c:v>
                </c:pt>
                <c:pt idx="10">
                  <c:v>5052.5</c:v>
                </c:pt>
                <c:pt idx="11">
                  <c:v>5142</c:v>
                </c:pt>
                <c:pt idx="12">
                  <c:v>3928</c:v>
                </c:pt>
                <c:pt idx="13">
                  <c:v>2996</c:v>
                </c:pt>
                <c:pt idx="14">
                  <c:v>3043.5</c:v>
                </c:pt>
                <c:pt idx="15">
                  <c:v>2798.5</c:v>
                </c:pt>
                <c:pt idx="16">
                  <c:v>3041</c:v>
                </c:pt>
                <c:pt idx="17">
                  <c:v>4256.5</c:v>
                </c:pt>
                <c:pt idx="18">
                  <c:v>3338</c:v>
                </c:pt>
                <c:pt idx="19">
                  <c:v>4144</c:v>
                </c:pt>
                <c:pt idx="20">
                  <c:v>4547</c:v>
                </c:pt>
                <c:pt idx="21">
                  <c:v>4880</c:v>
                </c:pt>
                <c:pt idx="22">
                  <c:v>3461.5</c:v>
                </c:pt>
                <c:pt idx="23">
                  <c:v>3918.5</c:v>
                </c:pt>
                <c:pt idx="24">
                  <c:v>3260.5</c:v>
                </c:pt>
                <c:pt idx="25">
                  <c:v>4553.5</c:v>
                </c:pt>
                <c:pt idx="26">
                  <c:v>3003.5</c:v>
                </c:pt>
                <c:pt idx="27">
                  <c:v>4386.5</c:v>
                </c:pt>
                <c:pt idx="28">
                  <c:v>3092.5</c:v>
                </c:pt>
                <c:pt idx="29">
                  <c:v>4542.5</c:v>
                </c:pt>
                <c:pt idx="30">
                  <c:v>3806</c:v>
                </c:pt>
                <c:pt idx="31">
                  <c:v>255</c:v>
                </c:pt>
                <c:pt idx="32">
                  <c:v>3380</c:v>
                </c:pt>
                <c:pt idx="33">
                  <c:v>3274</c:v>
                </c:pt>
                <c:pt idx="34">
                  <c:v>3245.5</c:v>
                </c:pt>
                <c:pt idx="35">
                  <c:v>4152</c:v>
                </c:pt>
                <c:pt idx="36">
                  <c:v>3174.5</c:v>
                </c:pt>
                <c:pt idx="37">
                  <c:v>4497</c:v>
                </c:pt>
                <c:pt idx="38">
                  <c:v>4831</c:v>
                </c:pt>
                <c:pt idx="39">
                  <c:v>4657.5</c:v>
                </c:pt>
                <c:pt idx="40">
                  <c:v>4906</c:v>
                </c:pt>
                <c:pt idx="41">
                  <c:v>4279</c:v>
                </c:pt>
                <c:pt idx="42">
                  <c:v>4262</c:v>
                </c:pt>
                <c:pt idx="43">
                  <c:v>2570.5</c:v>
                </c:pt>
                <c:pt idx="44">
                  <c:v>4298</c:v>
                </c:pt>
                <c:pt idx="45">
                  <c:v>4236</c:v>
                </c:pt>
                <c:pt idx="46">
                  <c:v>4481.5</c:v>
                </c:pt>
                <c:pt idx="47">
                  <c:v>4152.5</c:v>
                </c:pt>
                <c:pt idx="48">
                  <c:v>5571.5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8-45C1-ABEC-24E37E0E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16238959"/>
        <c:axId val="116239439"/>
      </c:barChart>
      <c:catAx>
        <c:axId val="116238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6239439"/>
        <c:crosses val="autoZero"/>
        <c:auto val="1"/>
        <c:lblAlgn val="ctr"/>
        <c:lblOffset val="100"/>
        <c:noMultiLvlLbl val="0"/>
      </c:catAx>
      <c:valAx>
        <c:axId val="116239439"/>
        <c:scaling>
          <c:orientation val="minMax"/>
        </c:scaling>
        <c:delete val="1"/>
        <c:axPos val="l"/>
        <c:numFmt formatCode="#\ ##0\ &quot;€&quot;;\-#\ ##0\ &quot;€&quot;;#\ ##0\ &quot;€&quot;" sourceLinked="1"/>
        <c:majorTickMark val="none"/>
        <c:minorTickMark val="none"/>
        <c:tickLblPos val="nextTo"/>
        <c:crossAx val="1162389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Lucro!$B$3:$B$10</c:f>
              <c:strCache>
                <c:ptCount val="8"/>
                <c:pt idx="0">
                  <c:v>Raspadinha</c:v>
                </c:pt>
                <c:pt idx="1">
                  <c:v>Euromilhões</c:v>
                </c:pt>
                <c:pt idx="2">
                  <c:v>Placard</c:v>
                </c:pt>
                <c:pt idx="3">
                  <c:v>Eurodreams</c:v>
                </c:pt>
                <c:pt idx="4">
                  <c:v>Totoloto</c:v>
                </c:pt>
                <c:pt idx="5">
                  <c:v>Popular</c:v>
                </c:pt>
                <c:pt idx="6">
                  <c:v>Clássica</c:v>
                </c:pt>
                <c:pt idx="7">
                  <c:v>Totobola</c:v>
                </c:pt>
              </c:strCache>
            </c:strRef>
          </c:cat>
          <c:val>
            <c:numRef>
              <c:f>Lucro!$C$3:$C$10</c:f>
              <c:numCache>
                <c:formatCode>_-* #\ ##0.00\ [$€-816]_-;\-* #\ ##0.00\ [$€-816]_-;_-* "-"??\ [$€-816]_-;_-@_-</c:formatCode>
                <c:ptCount val="8"/>
                <c:pt idx="0">
                  <c:v>113350</c:v>
                </c:pt>
                <c:pt idx="1">
                  <c:v>42000</c:v>
                </c:pt>
                <c:pt idx="2">
                  <c:v>17525</c:v>
                </c:pt>
                <c:pt idx="3">
                  <c:v>9587.5</c:v>
                </c:pt>
                <c:pt idx="4">
                  <c:v>5882</c:v>
                </c:pt>
                <c:pt idx="5">
                  <c:v>4381</c:v>
                </c:pt>
                <c:pt idx="6">
                  <c:v>2255</c:v>
                </c:pt>
                <c:pt idx="7">
                  <c:v>416.5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E-4954-8F05-DEEDE20E3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shape val="box"/>
        <c:axId val="1161856240"/>
        <c:axId val="1161845680"/>
        <c:axId val="1630167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Lucro!$B$3:$B$10</c15:sqref>
                        </c15:formulaRef>
                      </c:ext>
                    </c:extLst>
                    <c:strCache>
                      <c:ptCount val="8"/>
                      <c:pt idx="0">
                        <c:v>Raspadinha</c:v>
                      </c:pt>
                      <c:pt idx="1">
                        <c:v>Euromilhões</c:v>
                      </c:pt>
                      <c:pt idx="2">
                        <c:v>Placard</c:v>
                      </c:pt>
                      <c:pt idx="3">
                        <c:v>Eurodreams</c:v>
                      </c:pt>
                      <c:pt idx="4">
                        <c:v>Totoloto</c:v>
                      </c:pt>
                      <c:pt idx="5">
                        <c:v>Popular</c:v>
                      </c:pt>
                      <c:pt idx="6">
                        <c:v>Clássica</c:v>
                      </c:pt>
                      <c:pt idx="7">
                        <c:v>Totobola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Lucro!$D$3:$D$10</c15:sqref>
                        </c15:formulaRef>
                      </c:ext>
                    </c:extLst>
                    <c:numCache>
                      <c:formatCode>0%</c:formatCode>
                      <c:ptCount val="8"/>
                      <c:pt idx="0">
                        <c:v>0.1</c:v>
                      </c:pt>
                      <c:pt idx="1">
                        <c:v>0.05</c:v>
                      </c:pt>
                      <c:pt idx="2">
                        <c:v>0.05</c:v>
                      </c:pt>
                      <c:pt idx="3">
                        <c:v>0.05</c:v>
                      </c:pt>
                      <c:pt idx="4">
                        <c:v>7.0000000000000007E-2</c:v>
                      </c:pt>
                      <c:pt idx="5" formatCode="0.0%">
                        <c:v>0.125</c:v>
                      </c:pt>
                      <c:pt idx="6" formatCode="0.0%">
                        <c:v>0.127</c:v>
                      </c:pt>
                      <c:pt idx="7">
                        <c:v>7.0000000000000007E-2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F1E-4954-8F05-DEEDE20E307B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Lucro!$B$3:$B$10</c15:sqref>
                        </c15:formulaRef>
                      </c:ext>
                    </c:extLst>
                    <c:strCache>
                      <c:ptCount val="8"/>
                      <c:pt idx="0">
                        <c:v>Raspadinha</c:v>
                      </c:pt>
                      <c:pt idx="1">
                        <c:v>Euromilhões</c:v>
                      </c:pt>
                      <c:pt idx="2">
                        <c:v>Placard</c:v>
                      </c:pt>
                      <c:pt idx="3">
                        <c:v>Eurodreams</c:v>
                      </c:pt>
                      <c:pt idx="4">
                        <c:v>Totoloto</c:v>
                      </c:pt>
                      <c:pt idx="5">
                        <c:v>Popular</c:v>
                      </c:pt>
                      <c:pt idx="6">
                        <c:v>Clássica</c:v>
                      </c:pt>
                      <c:pt idx="7">
                        <c:v>Totobola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Lucro!$E$3:$E$10</c15:sqref>
                        </c15:formulaRef>
                      </c:ext>
                    </c:extLst>
                    <c:numCache>
                      <c:formatCode>_-* #\ ##0.00\ [$€-816]_-;\-* #\ ##0.00\ [$€-816]_-;_-* "-"??\ [$€-816]_-;_-@_-</c:formatCode>
                      <c:ptCount val="8"/>
                      <c:pt idx="0">
                        <c:v>11335</c:v>
                      </c:pt>
                      <c:pt idx="1">
                        <c:v>2100</c:v>
                      </c:pt>
                      <c:pt idx="2">
                        <c:v>876.25</c:v>
                      </c:pt>
                      <c:pt idx="3">
                        <c:v>479.375</c:v>
                      </c:pt>
                      <c:pt idx="4">
                        <c:v>411.74000000000007</c:v>
                      </c:pt>
                      <c:pt idx="5">
                        <c:v>547.625</c:v>
                      </c:pt>
                      <c:pt idx="6">
                        <c:v>286.38499999999999</c:v>
                      </c:pt>
                      <c:pt idx="7">
                        <c:v>29.155000000000001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1E-4954-8F05-DEEDE20E307B}"/>
                  </c:ext>
                </c:extLst>
              </c15:ser>
            </c15:filteredBarSeries>
          </c:ext>
        </c:extLst>
      </c:bar3DChart>
      <c:catAx>
        <c:axId val="116185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61845680"/>
        <c:crosses val="autoZero"/>
        <c:auto val="1"/>
        <c:lblAlgn val="ctr"/>
        <c:lblOffset val="100"/>
        <c:noMultiLvlLbl val="0"/>
      </c:catAx>
      <c:valAx>
        <c:axId val="11618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€-816]_-;\-* #\ ##0.00\ [$€-816]_-;_-* &quot;-&quot;??\ [$€-816]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61856240"/>
        <c:crosses val="autoZero"/>
        <c:crossBetween val="between"/>
      </c:valAx>
      <c:serAx>
        <c:axId val="163016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6184568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563033</xdr:colOff>
      <xdr:row>9</xdr:row>
      <xdr:rowOff>77044</xdr:rowOff>
    </xdr:from>
    <xdr:to>
      <xdr:col>18</xdr:col>
      <xdr:colOff>296333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 1">
              <a:extLst>
                <a:ext uri="{FF2B5EF4-FFF2-40B4-BE49-F238E27FC236}">
                  <a16:creationId xmlns:a16="http://schemas.microsoft.com/office/drawing/2014/main" id="{84B63A27-A5A9-42A2-8736-B5F2F4177C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26966" y="1888911"/>
              <a:ext cx="952500" cy="2784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 fPrintsWithSheet="0"/>
  </xdr:twoCellAnchor>
  <xdr:twoCellAnchor editAs="oneCell">
    <xdr:from>
      <xdr:col>18</xdr:col>
      <xdr:colOff>560917</xdr:colOff>
      <xdr:row>2</xdr:row>
      <xdr:rowOff>41274</xdr:rowOff>
    </xdr:from>
    <xdr:to>
      <xdr:col>21</xdr:col>
      <xdr:colOff>67732</xdr:colOff>
      <xdr:row>29</xdr:row>
      <xdr:rowOff>106680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. Semana 1">
              <a:extLst>
                <a:ext uri="{FF2B5EF4-FFF2-40B4-BE49-F238E27FC236}">
                  <a16:creationId xmlns:a16="http://schemas.microsoft.com/office/drawing/2014/main" id="{C64AD955-AC32-48F1-B068-89EE74A0D8B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. Sema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9384" y="439207"/>
              <a:ext cx="1335615" cy="52927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 fPrintsWithSheet="0"/>
  </xdr:twoCellAnchor>
  <xdr:twoCellAnchor editAs="oneCell">
    <xdr:from>
      <xdr:col>21</xdr:col>
      <xdr:colOff>435187</xdr:colOff>
      <xdr:row>3</xdr:row>
      <xdr:rowOff>14817</xdr:rowOff>
    </xdr:from>
    <xdr:to>
      <xdr:col>27</xdr:col>
      <xdr:colOff>282787</xdr:colOff>
      <xdr:row>20</xdr:row>
      <xdr:rowOff>102447</xdr:rowOff>
    </xdr:to>
    <xdr:pic>
      <xdr:nvPicPr>
        <xdr:cNvPr id="5" name="Imagem 4" descr="Jogos Santa Casa Logo Download png">
          <a:extLst>
            <a:ext uri="{FF2B5EF4-FFF2-40B4-BE49-F238E27FC236}">
              <a16:creationId xmlns:a16="http://schemas.microsoft.com/office/drawing/2014/main" id="{5C4B1CFB-B668-B744-1EB5-71E80174B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0787" y="599017"/>
          <a:ext cx="3505200" cy="3550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508000</xdr:colOff>
      <xdr:row>2</xdr:row>
      <xdr:rowOff>118533</xdr:rowOff>
    </xdr:from>
    <xdr:to>
      <xdr:col>18</xdr:col>
      <xdr:colOff>364067</xdr:colOff>
      <xdr:row>7</xdr:row>
      <xdr:rowOff>169333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no 1">
              <a:extLst>
                <a:ext uri="{FF2B5EF4-FFF2-40B4-BE49-F238E27FC236}">
                  <a16:creationId xmlns:a16="http://schemas.microsoft.com/office/drawing/2014/main" id="{B71FD660-601F-4C5B-85DE-043AD3AC44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9584" y="516467"/>
              <a:ext cx="742950" cy="86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0</xdr:col>
      <xdr:colOff>87086</xdr:colOff>
      <xdr:row>38</xdr:row>
      <xdr:rowOff>123824</xdr:rowOff>
    </xdr:from>
    <xdr:to>
      <xdr:col>28</xdr:col>
      <xdr:colOff>101600</xdr:colOff>
      <xdr:row>60</xdr:row>
      <xdr:rowOff>125506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6B98EFA-B2E4-430B-95E0-EE1B8F1D0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140970</xdr:colOff>
      <xdr:row>18</xdr:row>
      <xdr:rowOff>34290</xdr:rowOff>
    </xdr:from>
    <xdr:to>
      <xdr:col>21</xdr:col>
      <xdr:colOff>205740</xdr:colOff>
      <xdr:row>33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93F02B-F84B-531E-9B88-BCF7E5210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</xdr:colOff>
      <xdr:row>0</xdr:row>
      <xdr:rowOff>0</xdr:rowOff>
    </xdr:from>
    <xdr:to>
      <xdr:col>9</xdr:col>
      <xdr:colOff>480065</xdr:colOff>
      <xdr:row>29</xdr:row>
      <xdr:rowOff>93133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Numero da Semana">
              <a:extLst>
                <a:ext uri="{FF2B5EF4-FFF2-40B4-BE49-F238E27FC236}">
                  <a16:creationId xmlns:a16="http://schemas.microsoft.com/office/drawing/2014/main" id="{345B418D-7E18-4248-B10D-F8B4BA7707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ero da 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6613" y="0"/>
              <a:ext cx="1830493" cy="4654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1</xdr:row>
      <xdr:rowOff>26670</xdr:rowOff>
    </xdr:from>
    <xdr:to>
      <xdr:col>15</xdr:col>
      <xdr:colOff>426720</xdr:colOff>
      <xdr:row>17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90FE79-1E93-6534-792E-985836C5F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247649</xdr:colOff>
      <xdr:row>1</xdr:row>
      <xdr:rowOff>47625</xdr:rowOff>
    </xdr:from>
    <xdr:to>
      <xdr:col>18</xdr:col>
      <xdr:colOff>287654</xdr:colOff>
      <xdr:row>16</xdr:row>
      <xdr:rowOff>129540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N. Semana">
              <a:extLst>
                <a:ext uri="{FF2B5EF4-FFF2-40B4-BE49-F238E27FC236}">
                  <a16:creationId xmlns:a16="http://schemas.microsoft.com/office/drawing/2014/main" id="{838FAE32-65D4-D8E6-E9A0-3E15F82135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. 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49" y="238125"/>
              <a:ext cx="1247775" cy="2933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552450</xdr:colOff>
      <xdr:row>1</xdr:row>
      <xdr:rowOff>19050</xdr:rowOff>
    </xdr:from>
    <xdr:to>
      <xdr:col>14</xdr:col>
      <xdr:colOff>636270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">
              <a:extLst>
                <a:ext uri="{FF2B5EF4-FFF2-40B4-BE49-F238E27FC236}">
                  <a16:creationId xmlns:a16="http://schemas.microsoft.com/office/drawing/2014/main" id="{3FF02B96-3590-1F4A-E7E3-E4AD815889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5450" y="209550"/>
              <a:ext cx="952500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0</xdr:colOff>
      <xdr:row>1</xdr:row>
      <xdr:rowOff>28575</xdr:rowOff>
    </xdr:from>
    <xdr:to>
      <xdr:col>20</xdr:col>
      <xdr:colOff>133350</xdr:colOff>
      <xdr:row>7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">
              <a:extLst>
                <a:ext uri="{FF2B5EF4-FFF2-40B4-BE49-F238E27FC236}">
                  <a16:creationId xmlns:a16="http://schemas.microsoft.com/office/drawing/2014/main" id="{C063295C-C4DF-22D5-6FBA-6037D1F62E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92200" y="219075"/>
              <a:ext cx="742950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45833337" createdVersion="5" refreshedVersion="8" minRefreshableVersion="3" recordCount="0" supportSubquery="1" supportAdvancedDrill="1" xr:uid="{E05C2434-07ED-432A-9BB6-761C348D43F2}">
  <cacheSource type="external" connectionId="7"/>
  <cacheFields count="3">
    <cacheField name="[calendario].[Numero da Semana].[Numero da Semana]" caption="Numero da Semana" numFmtId="0" hierarchy="8" level="1">
      <sharedItems containsSemiMixedTypes="0" containsNonDate="0" containsString="0"/>
    </cacheField>
    <cacheField name="[Measures].[TotalVendas]" caption="TotalVendas" numFmtId="0" hierarchy="37" level="32767"/>
    <cacheField name="[calendario].[Ano].[Ano]" caption="Ano" numFmtId="0" hierarchy="1" level="1">
      <sharedItems containsSemiMixedTypes="0" containsNonDate="0" containsString="0"/>
    </cacheField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0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 oneField="1">
      <fieldsUsage count="1">
        <fieldUsage x="1"/>
      </fieldsUsage>
    </cacheHierarchy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/>
    <cacheHierarchy uniqueName="[Measures].[VarEuros]" caption="VarEuros" measure="1" displayFolder="" measureGroup="import data" count="0"/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48032408" createdVersion="8" refreshedVersion="8" minRefreshableVersion="3" recordCount="0" supportSubquery="1" supportAdvancedDrill="1" xr:uid="{ACD591C3-8657-4791-B127-FD6A7E21E6CD}">
  <cacheSource type="external" connectionId="7"/>
  <cacheFields count="9">
    <cacheField name="[Measures].[TotalVendas]" caption="TotalVendas" numFmtId="0" hierarchy="37" level="32767"/>
    <cacheField name="[calendario].[Ano].[Ano]" caption="Ano" numFmtId="0" hierarchy="1" level="1">
      <sharedItems containsSemiMixedTypes="0" containsNonDate="0" containsString="0"/>
    </cacheField>
    <cacheField name="[calendario].[Numero da Semana].[Numero da Semana]" caption="Numero da Semana" numFmtId="0" hierarchy="8" level="1">
      <sharedItems containsSemiMixedTypes="0" containsNonDate="0" containsString="0"/>
    </cacheField>
    <cacheField name="[import data].[Jogo].[Jogo]" caption="Jogo" numFmtId="0" hierarchy="14" level="1">
      <sharedItems count="10">
        <s v="Clássica"/>
        <s v="EuroDreams"/>
        <s v="Euromilhões"/>
        <s v="Hípicas"/>
        <s v="Milhão"/>
        <s v="Placard"/>
        <s v="Popular"/>
        <s v="Raspadinha"/>
        <s v="Totobola"/>
        <s v="Totoloto"/>
      </sharedItems>
    </cacheField>
    <cacheField name="[Measures].[TotalObjectivos]" caption="TotalObjectivos" numFmtId="0" hierarchy="38" level="32767"/>
    <cacheField name="[Measures].[Var%]" caption="Var%" numFmtId="0" hierarchy="39" level="32767"/>
    <cacheField name="[Measures].[VarEuros]" caption="VarEuros" numFmtId="0" hierarchy="40" level="32767"/>
    <cacheField name="[import data].[Grupo de Jogos].[Grupo de Jogos]" caption="Grupo de Jogos" numFmtId="0" hierarchy="18" level="1">
      <sharedItems containsBlank="1" count="9">
        <m/>
        <s v="Clássica"/>
        <s v="Eurodreams"/>
        <s v="Euromilhões + Milhão"/>
        <s v="Placard"/>
        <s v="Popular"/>
        <s v="Raspadinha"/>
        <s v="Totobola"/>
        <s v="Totoloto"/>
      </sharedItems>
    </cacheField>
    <cacheField name="[jogos].[Grupo de Jogos].[Grupo de Jogos]" caption="Grupo de Jogos" numFmtId="0" hierarchy="23" level="1">
      <sharedItems containsBlank="1" count="9">
        <s v="Clássica"/>
        <s v="Eurodreams"/>
        <s v="Euromilhões + Milhão"/>
        <s v="Placard"/>
        <s v="Popular"/>
        <s v="Raspadinha"/>
        <s v="Totobola"/>
        <s v="Totoloto"/>
        <m/>
      </sharedItems>
    </cacheField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2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2" memberValueDatatype="130" unbalanced="0">
      <fieldsUsage count="2">
        <fieldUsage x="-1"/>
        <fieldUsage x="3"/>
      </fieldsUsage>
    </cacheHierarchy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2" memberValueDatatype="130" unbalanced="0">
      <fieldsUsage count="2">
        <fieldUsage x="-1"/>
        <fieldUsage x="7"/>
      </fieldsUsage>
    </cacheHierarchy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2" memberValueDatatype="130" unbalanced="0">
      <fieldsUsage count="2">
        <fieldUsage x="-1"/>
        <fieldUsage x="8"/>
      </fieldsUsage>
    </cacheHierarchy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 oneField="1">
      <fieldsUsage count="1">
        <fieldUsage x="0"/>
      </fieldsUsage>
    </cacheHierarchy>
    <cacheHierarchy uniqueName="[Measures].[TotalObjectivos]" caption="TotalObjectivos" measure="1" displayFolder="" measureGroup="import data" count="0" oneField="1">
      <fieldsUsage count="1">
        <fieldUsage x="4"/>
      </fieldsUsage>
    </cacheHierarchy>
    <cacheHierarchy uniqueName="[Measures].[Var%]" caption="Var%" measure="1" displayFolder="" measureGroup="import data" count="0" oneField="1">
      <fieldsUsage count="1">
        <fieldUsage x="5"/>
      </fieldsUsage>
    </cacheHierarchy>
    <cacheHierarchy uniqueName="[Measures].[VarEuros]" caption="VarEuros" measure="1" displayFolder="" measureGroup="import data" count="0" oneField="1">
      <fieldsUsage count="1">
        <fieldUsage x="6"/>
      </fieldsUsage>
    </cacheHierarchy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49768517" createdVersion="8" refreshedVersion="8" minRefreshableVersion="3" recordCount="0" supportSubquery="1" supportAdvancedDrill="1" xr:uid="{4ECEE486-7FFD-407A-AF95-9C2023A5179A}">
  <cacheSource type="external" connectionId="7"/>
  <cacheFields count="7">
    <cacheField name="[Measures].[VendasLWTD]" caption="VendasLWTD" numFmtId="0" hierarchy="45" level="32767"/>
    <cacheField name="[calendario].[Ano].[Ano]" caption="Ano" numFmtId="0" hierarchy="1" level="1">
      <sharedItems containsSemiMixedTypes="0" containsNonDate="0" containsString="0"/>
    </cacheField>
    <cacheField name="[Measures].[VendasLYSWTD]" caption="VendasLYSWTD" numFmtId="0" hierarchy="54" level="32767"/>
    <cacheField name="[calendario].[Hierarquia da Data].[Ano]" caption="Ano" numFmtId="0" hierarchy="3" level="1">
      <sharedItems containsSemiMixedTypes="0" containsNonDate="0" containsString="0"/>
    </cacheField>
    <cacheField name="[calendario].[Hierarquia da Data].[Mês]" caption="Mês" numFmtId="0" hierarchy="3" level="2">
      <sharedItems containsSemiMixedTypes="0" containsNonDate="0" containsString="0"/>
    </cacheField>
    <cacheField name="[calendario].[Hierarquia da Data].[DateColumn]" caption="DateColumn" numFmtId="0" hierarchy="3" level="3">
      <sharedItems containsSemiMixedTypes="0" containsNonDate="0" containsString="0"/>
    </cacheField>
    <cacheField name="[calendario].[Numero da Semana].[Numero da Semana]" caption="Numero da Semana" numFmtId="0" hierarchy="8" level="1">
      <sharedItems containsSemiMixedTypes="0" containsNonDate="0" containsString="0"/>
    </cacheField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4" unbalanced="0">
      <fieldsUsage count="4">
        <fieldUsage x="-1"/>
        <fieldUsage x="3"/>
        <fieldUsage x="4"/>
        <fieldUsage x="5"/>
      </fieldsUsage>
    </cacheHierarchy>
    <cacheHierarchy uniqueName="[calendario].[Mês]" caption="Mês" attribute="1" time="1" defaultMemberUniqueName="[calendario].[Mês].[All]" allUniqueName="[calendario].[Mê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6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/>
    <cacheHierarchy uniqueName="[Measures].[VarEuros]" caption="VarEuros" measure="1" displayFolder="" measureGroup="import data" count="0"/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 oneField="1">
      <fieldsUsage count="1">
        <fieldUsage x="0"/>
      </fieldsUsage>
    </cacheHierarchy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 oneField="1">
      <fieldsUsage count="1">
        <fieldUsage x="2"/>
      </fieldsUsage>
    </cacheHierarchy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51620372" createdVersion="8" refreshedVersion="8" minRefreshableVersion="3" recordCount="0" supportSubquery="1" supportAdvancedDrill="1" xr:uid="{269DF65F-0058-4EDC-97D7-904218B5551D}">
  <cacheSource type="external" connectionId="7"/>
  <cacheFields count="6">
    <cacheField name="[Measures].[VendasMTD]" caption="VendasMTD" numFmtId="0" hierarchy="43" level="32767"/>
    <cacheField name="[calendario].[Ano].[Ano]" caption="Ano" numFmtId="0" hierarchy="1" level="1">
      <sharedItems containsSemiMixedTypes="0" containsNonDate="0" containsString="0"/>
    </cacheField>
    <cacheField name="[calendario].[Mês].[Mês]" caption="Mês" numFmtId="0" hierarchy="4" level="1">
      <sharedItems containsSemiMixedTypes="0" containsNonDate="0" containsString="0"/>
    </cacheField>
    <cacheField name="[Measures].[ObjectivosMTD]" caption="ObjectivosMTD" numFmtId="0" hierarchy="47" level="32767"/>
    <cacheField name="[Measures].[Var%]" caption="Var%" numFmtId="0" hierarchy="39" level="32767"/>
    <cacheField name="[Measures].[VarEuros]" caption="VarEuros" numFmtId="0" hierarchy="40" level="32767"/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0" memberValueDatatype="20" unbalanced="0"/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 oneField="1">
      <fieldsUsage count="1">
        <fieldUsage x="4"/>
      </fieldsUsage>
    </cacheHierarchy>
    <cacheHierarchy uniqueName="[Measures].[VarEuros]" caption="VarEuros" measure="1" displayFolder="" measureGroup="import data" count="0" oneField="1">
      <fieldsUsage count="1">
        <fieldUsage x="5"/>
      </fieldsUsage>
    </cacheHierarchy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 oneField="1">
      <fieldsUsage count="1">
        <fieldUsage x="0"/>
      </fieldsUsage>
    </cacheHierarchy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 oneField="1">
      <fieldsUsage count="1">
        <fieldUsage x="3"/>
      </fieldsUsage>
    </cacheHierarchy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53240742" createdVersion="5" refreshedVersion="8" minRefreshableVersion="3" recordCount="0" supportSubquery="1" supportAdvancedDrill="1" xr:uid="{B8ED5AA2-76F1-45DC-A888-50F7766A5188}">
  <cacheSource type="external" connectionId="7"/>
  <cacheFields count="3">
    <cacheField name="[Measures].[VendasSemanaAnterior]" caption="VendasSemanaAnterior" numFmtId="0" hierarchy="41" level="32767"/>
    <cacheField name="[calendario].[Ano].[Ano]" caption="Ano" numFmtId="0" hierarchy="1" level="1">
      <sharedItems containsSemiMixedTypes="0" containsNonDate="0" containsString="0"/>
    </cacheField>
    <cacheField name="[calendario].[Numero da Semana].[Numero da Semana]" caption="Numero da Semana" numFmtId="0" hierarchy="8" level="1">
      <sharedItems containsSemiMixedTypes="0" containsNonDate="0" containsString="0"/>
    </cacheField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2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/>
    <cacheHierarchy uniqueName="[Measures].[VarEuros]" caption="VarEuros" measure="1" displayFolder="" measureGroup="import data" count="0"/>
    <cacheHierarchy uniqueName="[Measures].[VendasSemanaAnterior]" caption="VendasSemanaAnterior" measure="1" displayFolder="" measureGroup="import data" count="0" oneField="1">
      <fieldsUsage count="1">
        <fieldUsage x="0"/>
      </fieldsUsage>
    </cacheHierarchy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55324074" createdVersion="5" refreshedVersion="8" minRefreshableVersion="3" recordCount="0" supportSubquery="1" supportAdvancedDrill="1" xr:uid="{4C053479-6004-4C37-9829-931ACE77735B}">
  <cacheSource type="external" connectionId="7"/>
  <cacheFields count="7">
    <cacheField name="[calendario].[Mês].[Mês]" caption="Mês" numFmtId="0" hierarchy="4" level="1">
      <sharedItems containsSemiMixedTypes="0" containsNonDate="0" containsString="0"/>
    </cacheField>
    <cacheField name="[Measures].[VendasYTD]" caption="VendasYTD" numFmtId="0" hierarchy="42" level="32767"/>
    <cacheField name="[calendario].[Ano].[Ano]" caption="Ano" numFmtId="0" hierarchy="1" level="1">
      <sharedItems containsSemiMixedTypes="0" containsNonDate="0" containsString="0"/>
    </cacheField>
    <cacheField name="[Measures].[VendasLYTD]" caption="VendasLYTD" numFmtId="0" hierarchy="53" level="32767"/>
    <cacheField name="[Measures].[ObjectivosYTD]" caption="ObjectivosYTD" numFmtId="0" hierarchy="46" level="32767"/>
    <cacheField name="[Measures].[Var%]" caption="Var%" numFmtId="0" hierarchy="39" level="32767"/>
    <cacheField name="[Measures].[VarEuros]" caption="VarEuros" numFmtId="0" hierarchy="40" level="32767"/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0" memberValueDatatype="20" unbalanced="0"/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 oneField="1">
      <fieldsUsage count="1">
        <fieldUsage x="5"/>
      </fieldsUsage>
    </cacheHierarchy>
    <cacheHierarchy uniqueName="[Measures].[VarEuros]" caption="VarEuros" measure="1" displayFolder="" measureGroup="import data" count="0" oneField="1">
      <fieldsUsage count="1">
        <fieldUsage x="6"/>
      </fieldsUsage>
    </cacheHierarchy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 oneField="1">
      <fieldsUsage count="1">
        <fieldUsage x="1"/>
      </fieldsUsage>
    </cacheHierarchy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 oneField="1">
      <fieldsUsage count="1">
        <fieldUsage x="4"/>
      </fieldsUsage>
    </cacheHierarchy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 oneField="1">
      <fieldsUsage count="1">
        <fieldUsage x="3"/>
      </fieldsUsage>
    </cacheHierarchy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58101853" createdVersion="5" refreshedVersion="8" minRefreshableVersion="3" recordCount="0" supportSubquery="1" supportAdvancedDrill="1" xr:uid="{603D1832-27F6-45C8-B63F-D39451A8B366}">
  <cacheSource type="external" connectionId="7"/>
  <cacheFields count="3">
    <cacheField name="[calendario].[Numero da Semana].[Numero da Semana]" caption="Numero da Semana" numFmtId="0" hierarchy="8" level="1">
      <sharedItems containsSemiMixedTypes="0" containsString="0" containsNumber="1" containsInteger="1" minValue="1" maxValue="49" count="4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</sharedItems>
      <extLst>
        <ext xmlns:x15="http://schemas.microsoft.com/office/spreadsheetml/2010/11/main" uri="{4F2E5C28-24EA-4eb8-9CBF-B6C8F9C3D259}">
          <x15:cachedUniqueNames>
            <x15:cachedUniqueName index="0" name="[calendario].[Numero da Semana].&amp;[1]"/>
            <x15:cachedUniqueName index="1" name="[calendario].[Numero da Semana].&amp;[2]"/>
            <x15:cachedUniqueName index="2" name="[calendario].[Numero da Semana].&amp;[3]"/>
            <x15:cachedUniqueName index="3" name="[calendario].[Numero da Semana].&amp;[4]"/>
            <x15:cachedUniqueName index="4" name="[calendario].[Numero da Semana].&amp;[5]"/>
            <x15:cachedUniqueName index="5" name="[calendario].[Numero da Semana].&amp;[6]"/>
            <x15:cachedUniqueName index="6" name="[calendario].[Numero da Semana].&amp;[7]"/>
            <x15:cachedUniqueName index="7" name="[calendario].[Numero da Semana].&amp;[8]"/>
            <x15:cachedUniqueName index="8" name="[calendario].[Numero da Semana].&amp;[9]"/>
            <x15:cachedUniqueName index="9" name="[calendario].[Numero da Semana].&amp;[10]"/>
            <x15:cachedUniqueName index="10" name="[calendario].[Numero da Semana].&amp;[11]"/>
            <x15:cachedUniqueName index="11" name="[calendario].[Numero da Semana].&amp;[12]"/>
            <x15:cachedUniqueName index="12" name="[calendario].[Numero da Semana].&amp;[13]"/>
            <x15:cachedUniqueName index="13" name="[calendario].[Numero da Semana].&amp;[14]"/>
            <x15:cachedUniqueName index="14" name="[calendario].[Numero da Semana].&amp;[15]"/>
            <x15:cachedUniqueName index="15" name="[calendario].[Numero da Semana].&amp;[16]"/>
            <x15:cachedUniqueName index="16" name="[calendario].[Numero da Semana].&amp;[17]"/>
            <x15:cachedUniqueName index="17" name="[calendario].[Numero da Semana].&amp;[18]"/>
            <x15:cachedUniqueName index="18" name="[calendario].[Numero da Semana].&amp;[19]"/>
            <x15:cachedUniqueName index="19" name="[calendario].[Numero da Semana].&amp;[20]"/>
            <x15:cachedUniqueName index="20" name="[calendario].[Numero da Semana].&amp;[21]"/>
            <x15:cachedUniqueName index="21" name="[calendario].[Numero da Semana].&amp;[22]"/>
            <x15:cachedUniqueName index="22" name="[calendario].[Numero da Semana].&amp;[23]"/>
            <x15:cachedUniqueName index="23" name="[calendario].[Numero da Semana].&amp;[24]"/>
            <x15:cachedUniqueName index="24" name="[calendario].[Numero da Semana].&amp;[25]"/>
            <x15:cachedUniqueName index="25" name="[calendario].[Numero da Semana].&amp;[26]"/>
            <x15:cachedUniqueName index="26" name="[calendario].[Numero da Semana].&amp;[27]"/>
            <x15:cachedUniqueName index="27" name="[calendario].[Numero da Semana].&amp;[28]"/>
            <x15:cachedUniqueName index="28" name="[calendario].[Numero da Semana].&amp;[29]"/>
            <x15:cachedUniqueName index="29" name="[calendario].[Numero da Semana].&amp;[30]"/>
            <x15:cachedUniqueName index="30" name="[calendario].[Numero da Semana].&amp;[31]"/>
            <x15:cachedUniqueName index="31" name="[calendario].[Numero da Semana].&amp;[32]"/>
            <x15:cachedUniqueName index="32" name="[calendario].[Numero da Semana].&amp;[33]"/>
            <x15:cachedUniqueName index="33" name="[calendario].[Numero da Semana].&amp;[34]"/>
            <x15:cachedUniqueName index="34" name="[calendario].[Numero da Semana].&amp;[35]"/>
            <x15:cachedUniqueName index="35" name="[calendario].[Numero da Semana].&amp;[36]"/>
            <x15:cachedUniqueName index="36" name="[calendario].[Numero da Semana].&amp;[37]"/>
            <x15:cachedUniqueName index="37" name="[calendario].[Numero da Semana].&amp;[38]"/>
            <x15:cachedUniqueName index="38" name="[calendario].[Numero da Semana].&amp;[39]"/>
            <x15:cachedUniqueName index="39" name="[calendario].[Numero da Semana].&amp;[40]"/>
            <x15:cachedUniqueName index="40" name="[calendario].[Numero da Semana].&amp;[41]"/>
            <x15:cachedUniqueName index="41" name="[calendario].[Numero da Semana].&amp;[42]"/>
            <x15:cachedUniqueName index="42" name="[calendario].[Numero da Semana].&amp;[43]"/>
            <x15:cachedUniqueName index="43" name="[calendario].[Numero da Semana].&amp;[44]"/>
            <x15:cachedUniqueName index="44" name="[calendario].[Numero da Semana].&amp;[45]"/>
            <x15:cachedUniqueName index="45" name="[calendario].[Numero da Semana].&amp;[46]"/>
            <x15:cachedUniqueName index="46" name="[calendario].[Numero da Semana].&amp;[47]"/>
            <x15:cachedUniqueName index="47" name="[calendario].[Numero da Semana].&amp;[48]"/>
            <x15:cachedUniqueName index="48" name="[calendario].[Numero da Semana].&amp;[49]"/>
          </x15:cachedUniqueNames>
        </ext>
      </extLst>
    </cacheField>
    <cacheField name="[calendario].[Ano].[Ano]" caption="Ano" numFmtId="0" hierarchy="1" level="1">
      <sharedItems containsSemiMixedTypes="0" containsNonDate="0" containsString="0"/>
    </cacheField>
    <cacheField name="[Measures].[TotalVendas]" caption="TotalVendas" numFmtId="0" hierarchy="37" level="32767"/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0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 oneField="1">
      <fieldsUsage count="1">
        <fieldUsage x="2"/>
      </fieldsUsage>
    </cacheHierarchy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/>
    <cacheHierarchy uniqueName="[Measures].[VarEuros]" caption="VarEuros" measure="1" displayFolder="" measureGroup="import data" count="0"/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60648147" createdVersion="5" refreshedVersion="8" minRefreshableVersion="3" recordCount="0" supportSubquery="1" supportAdvancedDrill="1" xr:uid="{94B45EBA-204C-4C42-93B4-E6A0A79F1CB5}">
  <cacheSource type="external" connectionId="7"/>
  <cacheFields count="4">
    <cacheField name="[calendario].[Mês].[Mês]" caption="Mês" numFmtId="0" hierarchy="4" level="1">
      <sharedItems count="11">
        <s v="janeiro"/>
        <s v="fevereiro"/>
        <s v="março"/>
        <s v="abril"/>
        <s v="maio"/>
        <s v="junho"/>
        <s v="julho"/>
        <s v="agosto"/>
        <s v="setembro"/>
        <s v="outubro"/>
        <s v="novembro"/>
      </sharedItems>
    </cacheField>
    <cacheField name="[calendario].[Numero da Semana].[Numero da Semana]" caption="Numero da Semana" numFmtId="0" hierarchy="8" level="1">
      <sharedItems containsSemiMixedTypes="0" containsString="0" containsNumber="1" containsInteger="1" minValue="1" maxValue="47" count="4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</sharedItems>
      <extLst>
        <ext xmlns:x15="http://schemas.microsoft.com/office/spreadsheetml/2010/11/main" uri="{4F2E5C28-24EA-4eb8-9CBF-B6C8F9C3D259}">
          <x15:cachedUniqueNames>
            <x15:cachedUniqueName index="0" name="[calendario].[Numero da Semana].&amp;[1]"/>
            <x15:cachedUniqueName index="1" name="[calendario].[Numero da Semana].&amp;[2]"/>
            <x15:cachedUniqueName index="2" name="[calendario].[Numero da Semana].&amp;[3]"/>
            <x15:cachedUniqueName index="3" name="[calendario].[Numero da Semana].&amp;[4]"/>
            <x15:cachedUniqueName index="4" name="[calendario].[Numero da Semana].&amp;[5]"/>
            <x15:cachedUniqueName index="5" name="[calendario].[Numero da Semana].&amp;[6]"/>
            <x15:cachedUniqueName index="6" name="[calendario].[Numero da Semana].&amp;[7]"/>
            <x15:cachedUniqueName index="7" name="[calendario].[Numero da Semana].&amp;[8]"/>
            <x15:cachedUniqueName index="8" name="[calendario].[Numero da Semana].&amp;[9]"/>
            <x15:cachedUniqueName index="9" name="[calendario].[Numero da Semana].&amp;[10]"/>
            <x15:cachedUniqueName index="10" name="[calendario].[Numero da Semana].&amp;[11]"/>
            <x15:cachedUniqueName index="11" name="[calendario].[Numero da Semana].&amp;[12]"/>
            <x15:cachedUniqueName index="12" name="[calendario].[Numero da Semana].&amp;[13]"/>
            <x15:cachedUniqueName index="13" name="[calendario].[Numero da Semana].&amp;[14]"/>
            <x15:cachedUniqueName index="14" name="[calendario].[Numero da Semana].&amp;[15]"/>
            <x15:cachedUniqueName index="15" name="[calendario].[Numero da Semana].&amp;[16]"/>
            <x15:cachedUniqueName index="16" name="[calendario].[Numero da Semana].&amp;[17]"/>
            <x15:cachedUniqueName index="17" name="[calendario].[Numero da Semana].&amp;[18]"/>
            <x15:cachedUniqueName index="18" name="[calendario].[Numero da Semana].&amp;[19]"/>
            <x15:cachedUniqueName index="19" name="[calendario].[Numero da Semana].&amp;[20]"/>
            <x15:cachedUniqueName index="20" name="[calendario].[Numero da Semana].&amp;[21]"/>
            <x15:cachedUniqueName index="21" name="[calendario].[Numero da Semana].&amp;[22]"/>
            <x15:cachedUniqueName index="22" name="[calendario].[Numero da Semana].&amp;[23]"/>
            <x15:cachedUniqueName index="23" name="[calendario].[Numero da Semana].&amp;[24]"/>
            <x15:cachedUniqueName index="24" name="[calendario].[Numero da Semana].&amp;[25]"/>
            <x15:cachedUniqueName index="25" name="[calendario].[Numero da Semana].&amp;[26]"/>
            <x15:cachedUniqueName index="26" name="[calendario].[Numero da Semana].&amp;[27]"/>
            <x15:cachedUniqueName index="27" name="[calendario].[Numero da Semana].&amp;[28]"/>
            <x15:cachedUniqueName index="28" name="[calendario].[Numero da Semana].&amp;[29]"/>
            <x15:cachedUniqueName index="29" name="[calendario].[Numero da Semana].&amp;[30]"/>
            <x15:cachedUniqueName index="30" name="[calendario].[Numero da Semana].&amp;[31]"/>
            <x15:cachedUniqueName index="31" name="[calendario].[Numero da Semana].&amp;[32]"/>
            <x15:cachedUniqueName index="32" name="[calendario].[Numero da Semana].&amp;[33]"/>
            <x15:cachedUniqueName index="33" name="[calendario].[Numero da Semana].&amp;[34]"/>
            <x15:cachedUniqueName index="34" name="[calendario].[Numero da Semana].&amp;[35]"/>
            <x15:cachedUniqueName index="35" name="[calendario].[Numero da Semana].&amp;[36]"/>
            <x15:cachedUniqueName index="36" name="[calendario].[Numero da Semana].&amp;[37]"/>
            <x15:cachedUniqueName index="37" name="[calendario].[Numero da Semana].&amp;[38]"/>
            <x15:cachedUniqueName index="38" name="[calendario].[Numero da Semana].&amp;[39]"/>
            <x15:cachedUniqueName index="39" name="[calendario].[Numero da Semana].&amp;[40]"/>
            <x15:cachedUniqueName index="40" name="[calendario].[Numero da Semana].&amp;[41]"/>
            <x15:cachedUniqueName index="41" name="[calendario].[Numero da Semana].&amp;[42]"/>
            <x15:cachedUniqueName index="42" name="[calendario].[Numero da Semana].&amp;[43]"/>
            <x15:cachedUniqueName index="43" name="[calendario].[Numero da Semana].&amp;[44]"/>
            <x15:cachedUniqueName index="44" name="[calendario].[Numero da Semana].&amp;[45]"/>
            <x15:cachedUniqueName index="45" name="[calendario].[Numero da Semana].&amp;[46]"/>
            <x15:cachedUniqueName index="46" name="[calendario].[Numero da Semana].&amp;[47]"/>
          </x15:cachedUniqueNames>
        </ext>
      </extLst>
    </cacheField>
    <cacheField name="[calendario].[Ano].[Ano]" caption="Ano" numFmtId="0" hierarchy="1" level="1">
      <sharedItems containsSemiMixedTypes="0" containsNonDate="0" containsString="0"/>
    </cacheField>
    <cacheField name="[Measures].[Soma de Vendas]" caption="Soma de Vendas" numFmtId="0" hierarchy="36" level="32767"/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1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/>
    <cacheHierarchy uniqueName="[Measures].[VarEuros]" caption="VarEuros" measure="1" displayFolder="" measureGroup="import data" count="0"/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62268517" createdVersion="8" refreshedVersion="8" minRefreshableVersion="3" recordCount="0" supportSubquery="1" supportAdvancedDrill="1" xr:uid="{BC4C4FEB-03A0-41D9-8E94-5425AEF03888}">
  <cacheSource type="external" connectionId="7"/>
  <cacheFields count="4">
    <cacheField name="[calendario].[Numero da Semana].[Numero da Semana]" caption="Numero da Semana" numFmtId="0" hierarchy="8" level="1">
      <sharedItems containsSemiMixedTypes="0" containsString="0" containsNumber="1" containsInteger="1" minValue="1" maxValue="49" count="4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</sharedItems>
      <extLst>
        <ext xmlns:x15="http://schemas.microsoft.com/office/spreadsheetml/2010/11/main" uri="{4F2E5C28-24EA-4eb8-9CBF-B6C8F9C3D259}">
          <x15:cachedUniqueNames>
            <x15:cachedUniqueName index="0" name="[calendario].[Numero da Semana].&amp;[1]"/>
            <x15:cachedUniqueName index="1" name="[calendario].[Numero da Semana].&amp;[2]"/>
            <x15:cachedUniqueName index="2" name="[calendario].[Numero da Semana].&amp;[3]"/>
            <x15:cachedUniqueName index="3" name="[calendario].[Numero da Semana].&amp;[4]"/>
            <x15:cachedUniqueName index="4" name="[calendario].[Numero da Semana].&amp;[5]"/>
            <x15:cachedUniqueName index="5" name="[calendario].[Numero da Semana].&amp;[6]"/>
            <x15:cachedUniqueName index="6" name="[calendario].[Numero da Semana].&amp;[7]"/>
            <x15:cachedUniqueName index="7" name="[calendario].[Numero da Semana].&amp;[8]"/>
            <x15:cachedUniqueName index="8" name="[calendario].[Numero da Semana].&amp;[9]"/>
            <x15:cachedUniqueName index="9" name="[calendario].[Numero da Semana].&amp;[10]"/>
            <x15:cachedUniqueName index="10" name="[calendario].[Numero da Semana].&amp;[11]"/>
            <x15:cachedUniqueName index="11" name="[calendario].[Numero da Semana].&amp;[12]"/>
            <x15:cachedUniqueName index="12" name="[calendario].[Numero da Semana].&amp;[13]"/>
            <x15:cachedUniqueName index="13" name="[calendario].[Numero da Semana].&amp;[14]"/>
            <x15:cachedUniqueName index="14" name="[calendario].[Numero da Semana].&amp;[15]"/>
            <x15:cachedUniqueName index="15" name="[calendario].[Numero da Semana].&amp;[16]"/>
            <x15:cachedUniqueName index="16" name="[calendario].[Numero da Semana].&amp;[17]"/>
            <x15:cachedUniqueName index="17" name="[calendario].[Numero da Semana].&amp;[18]"/>
            <x15:cachedUniqueName index="18" name="[calendario].[Numero da Semana].&amp;[19]"/>
            <x15:cachedUniqueName index="19" name="[calendario].[Numero da Semana].&amp;[20]"/>
            <x15:cachedUniqueName index="20" name="[calendario].[Numero da Semana].&amp;[21]"/>
            <x15:cachedUniqueName index="21" name="[calendario].[Numero da Semana].&amp;[22]"/>
            <x15:cachedUniqueName index="22" name="[calendario].[Numero da Semana].&amp;[23]"/>
            <x15:cachedUniqueName index="23" name="[calendario].[Numero da Semana].&amp;[24]"/>
            <x15:cachedUniqueName index="24" name="[calendario].[Numero da Semana].&amp;[25]"/>
            <x15:cachedUniqueName index="25" name="[calendario].[Numero da Semana].&amp;[26]"/>
            <x15:cachedUniqueName index="26" name="[calendario].[Numero da Semana].&amp;[27]"/>
            <x15:cachedUniqueName index="27" name="[calendario].[Numero da Semana].&amp;[28]"/>
            <x15:cachedUniqueName index="28" name="[calendario].[Numero da Semana].&amp;[29]"/>
            <x15:cachedUniqueName index="29" name="[calendario].[Numero da Semana].&amp;[30]"/>
            <x15:cachedUniqueName index="30" name="[calendario].[Numero da Semana].&amp;[31]"/>
            <x15:cachedUniqueName index="31" name="[calendario].[Numero da Semana].&amp;[32]"/>
            <x15:cachedUniqueName index="32" name="[calendario].[Numero da Semana].&amp;[33]"/>
            <x15:cachedUniqueName index="33" name="[calendario].[Numero da Semana].&amp;[34]"/>
            <x15:cachedUniqueName index="34" name="[calendario].[Numero da Semana].&amp;[35]"/>
            <x15:cachedUniqueName index="35" name="[calendario].[Numero da Semana].&amp;[36]"/>
            <x15:cachedUniqueName index="36" name="[calendario].[Numero da Semana].&amp;[37]"/>
            <x15:cachedUniqueName index="37" name="[calendario].[Numero da Semana].&amp;[38]"/>
            <x15:cachedUniqueName index="38" name="[calendario].[Numero da Semana].&amp;[39]"/>
            <x15:cachedUniqueName index="39" name="[calendario].[Numero da Semana].&amp;[40]"/>
            <x15:cachedUniqueName index="40" name="[calendario].[Numero da Semana].&amp;[41]"/>
            <x15:cachedUniqueName index="41" name="[calendario].[Numero da Semana].&amp;[42]"/>
            <x15:cachedUniqueName index="42" name="[calendario].[Numero da Semana].&amp;[43]"/>
            <x15:cachedUniqueName index="43" name="[calendario].[Numero da Semana].&amp;[44]"/>
            <x15:cachedUniqueName index="44" name="[calendario].[Numero da Semana].&amp;[45]"/>
            <x15:cachedUniqueName index="45" name="[calendario].[Numero da Semana].&amp;[46]"/>
            <x15:cachedUniqueName index="46" name="[calendario].[Numero da Semana].&amp;[47]"/>
            <x15:cachedUniqueName index="47" name="[calendario].[Numero da Semana].&amp;[48]"/>
            <x15:cachedUniqueName index="48" name="[calendario].[Numero da Semana].&amp;[49]"/>
          </x15:cachedUniqueNames>
        </ext>
      </extLst>
    </cacheField>
    <cacheField name="[calendario].[Mês].[Mês]" caption="Mês" numFmtId="0" hierarchy="4" level="1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[Measures].[TotalVendas]" caption="TotalVendas" numFmtId="0" hierarchy="37" level="32767"/>
    <cacheField name="[calendario].[Ano].[Ano]" caption="Ano" numFmtId="0" hierarchy="1" level="1">
      <sharedItems containsSemiMixedTypes="0" containsNonDate="0" containsString="0"/>
    </cacheField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3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0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 oneField="1">
      <fieldsUsage count="1">
        <fieldUsage x="2"/>
      </fieldsUsage>
    </cacheHierarchy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/>
    <cacheHierarchy uniqueName="[Measures].[VarEuros]" caption="VarEuros" measure="1" displayFolder="" measureGroup="import data" count="0"/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64120372" createdVersion="8" refreshedVersion="8" minRefreshableVersion="3" recordCount="0" supportSubquery="1" supportAdvancedDrill="1" xr:uid="{D8A38962-4D75-4E86-9783-7AC5F9CA97A6}">
  <cacheSource type="external" connectionId="7"/>
  <cacheFields count="9">
    <cacheField name="[Measures].[PrestaçãoYTD]" caption="PrestaçãoYTD" numFmtId="0" hierarchy="49" level="32767"/>
    <cacheField name="[Measures].[PrestaçãoMTD]" caption="PrestaçãoMTD" numFmtId="0" hierarchy="50" level="32767"/>
    <cacheField name="[Measures].[PrestacaoWTD]" caption="PrestacaoWTD" numFmtId="0" hierarchy="51" level="32767"/>
    <cacheField name="[Measures].[PrestaçãoLWTD]" caption="PrestaçãoLWTD" numFmtId="0" hierarchy="52" level="32767"/>
    <cacheField name="[calendario].[Ano].[Ano]" caption="Ano" numFmtId="0" hierarchy="1" level="1">
      <sharedItems containsSemiMixedTypes="0" containsNonDate="0" containsString="0"/>
    </cacheField>
    <cacheField name="[calendario].[Numero da Semana].[Numero da Semana]" caption="Numero da Semana" numFmtId="0" hierarchy="8" level="1">
      <sharedItems containsSemiMixedTypes="0" containsNonDate="0" containsString="0"/>
    </cacheField>
    <cacheField name="[calendario].[Mês].[Mês]" caption="Mês" numFmtId="0" hierarchy="4" level="1">
      <sharedItems containsSemiMixedTypes="0" containsNonDate="0" containsString="0"/>
    </cacheField>
    <cacheField name="[Measures].[PrestaçãoLYTD]" caption="PrestaçãoLYTD" numFmtId="0" hierarchy="57" level="32767"/>
    <cacheField name="[Measures].[PrestaçãoLYSWTD]" caption="PrestaçãoLYSWTD" numFmtId="0" hierarchy="58" level="32767"/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4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2" memberValueDatatype="130" unbalanced="0">
      <fieldsUsage count="2">
        <fieldUsage x="-1"/>
        <fieldUsage x="6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5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/>
    <cacheHierarchy uniqueName="[Measures].[VarEuros]" caption="VarEuros" measure="1" displayFolder="" measureGroup="import data" count="0"/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 oneField="1">
      <fieldsUsage count="1">
        <fieldUsage x="0"/>
      </fieldsUsage>
    </cacheHierarchy>
    <cacheHierarchy uniqueName="[Measures].[PrestaçãoMTD]" caption="PrestaçãoMTD" measure="1" displayFolder="" measureGroup="prestacao" count="0" oneField="1">
      <fieldsUsage count="1">
        <fieldUsage x="1"/>
      </fieldsUsage>
    </cacheHierarchy>
    <cacheHierarchy uniqueName="[Measures].[PrestacaoWTD]" caption="PrestacaoWTD" measure="1" displayFolder="" measureGroup="prestacao" count="0" oneField="1">
      <fieldsUsage count="1">
        <fieldUsage x="2"/>
      </fieldsUsage>
    </cacheHierarchy>
    <cacheHierarchy uniqueName="[Measures].[PrestaçãoLWTD]" caption="PrestaçãoLWTD" measure="1" displayFolder="" measureGroup="prestacao" count="0" oneField="1">
      <fieldsUsage count="1">
        <fieldUsage x="3"/>
      </fieldsUsage>
    </cacheHierarchy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 oneField="1">
      <fieldsUsage count="1">
        <fieldUsage x="7"/>
      </fieldsUsage>
    </cacheHierarchy>
    <cacheHierarchy uniqueName="[Measures].[PrestaçãoLYSWTD]" caption="PrestaçãoLYSWTD" measure="1" displayFolder="" measureGroup="prestacao" count="0" oneField="1">
      <fieldsUsage count="1">
        <fieldUsage x="8"/>
      </fieldsUsage>
    </cacheHierarchy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65856481" createdVersion="8" refreshedVersion="8" minRefreshableVersion="3" recordCount="0" supportSubquery="1" supportAdvancedDrill="1" xr:uid="{9E535A2D-CE8B-43CE-866C-D1587D1CEB62}">
  <cacheSource type="external" connectionId="7"/>
  <cacheFields count="10">
    <cacheField name="[Measures].[VendasWTD]" caption="VendasWTD" numFmtId="0" hierarchy="44" level="32767"/>
    <cacheField name="[calendario].[Ano].[Ano]" caption="Ano" numFmtId="0" hierarchy="1" level="1">
      <sharedItems containsSemiMixedTypes="0" containsNonDate="0" containsString="0"/>
    </cacheField>
    <cacheField name="[calendario].[Mês].[Mês]" caption="Mês" numFmtId="0" hierarchy="4" level="1">
      <sharedItems containsSemiMixedTypes="0" containsNonDate="0" containsString="0"/>
    </cacheField>
    <cacheField name="[calendario].[Hierarquia da Data].[Ano]" caption="Ano" numFmtId="0" hierarchy="3" level="1">
      <sharedItems containsSemiMixedTypes="0" containsNonDate="0" containsString="0"/>
    </cacheField>
    <cacheField name="[calendario].[Hierarquia da Data].[Mês]" caption="Mês" numFmtId="0" hierarchy="3" level="2">
      <sharedItems containsSemiMixedTypes="0" containsNonDate="0" containsString="0"/>
    </cacheField>
    <cacheField name="[calendario].[Hierarquia da Data].[DateColumn]" caption="DateColumn" numFmtId="0" hierarchy="3" level="3">
      <sharedItems containsSemiMixedTypes="0" containsNonDate="0" containsString="0"/>
    </cacheField>
    <cacheField name="[calendario].[Numero da Semana].[Numero da Semana]" caption="Numero da Semana" numFmtId="0" hierarchy="8" level="1">
      <sharedItems containsSemiMixedTypes="0" containsNonDate="0" containsString="0"/>
    </cacheField>
    <cacheField name="[Measures].[ObjectivosWTD]" caption="ObjectivosWTD" numFmtId="0" hierarchy="48" level="32767"/>
    <cacheField name="[Measures].[Var%]" caption="Var%" numFmtId="0" hierarchy="39" level="32767"/>
    <cacheField name="[Measures].[VarEuros]" caption="VarEuros" numFmtId="0" hierarchy="40" level="32767"/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1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4" unbalanced="0">
      <fieldsUsage count="4">
        <fieldUsage x="-1"/>
        <fieldUsage x="3"/>
        <fieldUsage x="4"/>
        <fieldUsage x="5"/>
      </fieldsUsage>
    </cacheHierarchy>
    <cacheHierarchy uniqueName="[calendario].[Mês]" caption="Mês" attribute="1" time="1" defaultMemberUniqueName="[calendario].[Mês].[All]" allUniqueName="[calendario].[Mês].[All]" dimensionUniqueName="[calendario]" displayFolder="" count="2" memberValueDatatype="130" unbalanced="0">
      <fieldsUsage count="2">
        <fieldUsage x="-1"/>
        <fieldUsage x="2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>
      <fieldsUsage count="2">
        <fieldUsage x="-1"/>
        <fieldUsage x="6"/>
      </fieldsUsage>
    </cacheHierarchy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 oneField="1">
      <fieldsUsage count="1">
        <fieldUsage x="8"/>
      </fieldsUsage>
    </cacheHierarchy>
    <cacheHierarchy uniqueName="[Measures].[VarEuros]" caption="VarEuros" measure="1" displayFolder="" measureGroup="import data" count="0" oneField="1">
      <fieldsUsage count="1">
        <fieldUsage x="9"/>
      </fieldsUsage>
    </cacheHierarchy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 oneField="1">
      <fieldsUsage count="1">
        <fieldUsage x="0"/>
      </fieldsUsage>
    </cacheHierarchy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 oneField="1">
      <fieldsUsage count="1">
        <fieldUsage x="7"/>
      </fieldsUsage>
    </cacheHierarchy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68171298" createdVersion="8" refreshedVersion="8" minRefreshableVersion="3" recordCount="0" supportSubquery="1" supportAdvancedDrill="1" xr:uid="{78F8F746-8368-47E5-B997-E384E70A85E9}">
  <cacheSource type="external" connectionId="7"/>
  <cacheFields count="9">
    <cacheField name="[calendario].[Mês].[Mês]" caption="Mês" numFmtId="0" hierarchy="4" level="1">
      <sharedItems containsSemiMixedTypes="0" containsNonDate="0" containsString="0"/>
    </cacheField>
    <cacheField name="[Measures].[VendasYTD]" caption="VendasYTD" numFmtId="0" hierarchy="42" level="32767"/>
    <cacheField name="[calendario].[Ano].[Ano]" caption="Ano" numFmtId="0" hierarchy="1" level="1">
      <sharedItems containsSemiMixedTypes="0" containsNonDate="0" containsString="0"/>
    </cacheField>
    <cacheField name="[Measures].[ObjectivosYTD]" caption="ObjectivosYTD" numFmtId="0" hierarchy="46" level="32767"/>
    <cacheField name="[Measures].[Var%]" caption="Var%" numFmtId="0" hierarchy="39" level="32767"/>
    <cacheField name="[Measures].[VarEuros]" caption="VarEuros" numFmtId="0" hierarchy="40" level="32767"/>
    <cacheField name="[import data].[Grupo de Jogos].[Grupo de Jogos]" caption="Grupo de Jogos" numFmtId="0" hierarchy="18" level="1">
      <sharedItems containsBlank="1" count="9">
        <m/>
        <s v="Clássica"/>
        <s v="Eurodreams"/>
        <s v="Euromilhões + Milhão"/>
        <s v="Placard"/>
        <s v="Popular"/>
        <s v="Raspadinha"/>
        <s v="Totobola"/>
        <s v="Totoloto"/>
      </sharedItems>
    </cacheField>
    <cacheField name="[jogos].[Grupo de Jogos].[Grupo de Jogos]" caption="Grupo de Jogos" numFmtId="0" hierarchy="23" level="1">
      <sharedItems containsBlank="1" count="9">
        <s v="Clássica"/>
        <s v="Eurodreams"/>
        <s v="Euromilhões + Milhão"/>
        <s v="Placard"/>
        <s v="Popular"/>
        <s v="Raspadinha"/>
        <s v="Totobola"/>
        <s v="Totoloto"/>
        <m/>
      </sharedItems>
    </cacheField>
    <cacheField name="[Measures].[ComissãoYTD]" caption="ComissãoYTD" numFmtId="0" hierarchy="56" level="32767"/>
  </cacheFields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0" memberValueDatatype="20" unbalanced="0"/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2" memberValueDatatype="130" unbalanced="0">
      <fieldsUsage count="2">
        <fieldUsage x="-1"/>
        <fieldUsage x="6"/>
      </fieldsUsage>
    </cacheHierarchy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2" memberValueDatatype="130" unbalanced="0">
      <fieldsUsage count="2">
        <fieldUsage x="-1"/>
        <fieldUsage x="7"/>
      </fieldsUsage>
    </cacheHierarchy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 oneField="1">
      <fieldsUsage count="1">
        <fieldUsage x="4"/>
      </fieldsUsage>
    </cacheHierarchy>
    <cacheHierarchy uniqueName="[Measures].[VarEuros]" caption="VarEuros" measure="1" displayFolder="" measureGroup="import data" count="0" oneField="1">
      <fieldsUsage count="1">
        <fieldUsage x="5"/>
      </fieldsUsage>
    </cacheHierarchy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 oneField="1">
      <fieldsUsage count="1">
        <fieldUsage x="1"/>
      </fieldsUsage>
    </cacheHierarchy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 oneField="1">
      <fieldsUsage count="1">
        <fieldUsage x="3"/>
      </fieldsUsage>
    </cacheHierarchy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 oneField="1">
      <fieldsUsage count="1">
        <fieldUsage x="8"/>
      </fieldsUsage>
    </cacheHierarchy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dimensions count="7">
    <dimension name="calendario" uniqueName="[calendario]" caption="calendario"/>
    <dimension name="comissoes" uniqueName="[comissoes]" caption="comissoes"/>
    <dimension name="import data" uniqueName="[import data]" caption="import data"/>
    <dimension name="jogos" uniqueName="[jogos]" caption="jogos"/>
    <dimension measure="1" name="Measures" uniqueName="[Measures]" caption="Measures"/>
    <dimension name="objectivos" uniqueName="[objectivos]" caption="objectivos"/>
    <dimension name="prestacao" uniqueName="[prestacao]" caption="prestacao"/>
  </dimensions>
  <measureGroups count="6">
    <measureGroup name="calendario" caption="calendario"/>
    <measureGroup name="comissoes" caption="comissoes"/>
    <measureGroup name="import data" caption="import data"/>
    <measureGroup name="jogos" caption="jogos"/>
    <measureGroup name="objectivos" caption="objectivos"/>
    <measureGroup name="prestacao" caption="prestacao"/>
  </measureGroups>
  <maps count="11">
    <map measureGroup="0" dimension="0"/>
    <map measureGroup="1" dimension="1"/>
    <map measureGroup="2" dimension="0"/>
    <map measureGroup="2" dimension="1"/>
    <map measureGroup="2" dimension="2"/>
    <map measureGroup="2" dimension="3"/>
    <map measureGroup="2" dimension="5"/>
    <map measureGroup="3" dimension="3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or" refreshedDate="45998.734244907406" createdVersion="3" refreshedVersion="8" minRefreshableVersion="3" recordCount="0" supportSubquery="1" supportAdvancedDrill="1" xr:uid="{9E461182-5B08-40DC-8737-EE219ADC4022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no]" caption="Ano" attribute="1" time="1" defaultMemberUniqueName="[calendario].[Ano].[All]" allUniqueName="[calendario].[Ano].[All]" dimensionUniqueName="[calendario]" displayFolder="" count="2" memberValueDatatype="20" unbalanced="0"/>
    <cacheHierarchy uniqueName="[calendario].[Número do Mês]" caption="Número do Mês" attribute="1" time="1" defaultMemberUniqueName="[calendario].[Número do Mês].[All]" allUniqueName="[calendario].[Número do Mês].[All]" dimensionUniqueName="[calendario]" displayFolder="" count="0" memberValueDatatype="20" unbalanced="0"/>
    <cacheHierarchy uniqueName="[calendario].[Hierarquia da Data]" caption="Hierarquia da Data" time="1" defaultMemberUniqueName="[calendario].[Hierarquia da Data].[All]" allUniqueName="[calendario].[Hierarquia da Data].[All]" dimensionUniqueName="[calendario]" displayFolder="" count="0" unbalanced="0"/>
    <cacheHierarchy uniqueName="[calendario].[Mês]" caption="Mês" attribute="1" time="1" defaultMemberUniqueName="[calendario].[Mês].[All]" allUniqueName="[calendario].[Mê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o Dia da Semana]" caption="Número do Dia da Semana" attribute="1" time="1" defaultMemberUniqueName="[calendario].[Número do Dia da Semana].[All]" allUniqueName="[calendario].[Número do Dia da Semana].[All]" dimensionUniqueName="[calendario]" displayFolder="" count="0" memberValueDatatype="20" unbalanced="0"/>
    <cacheHierarchy uniqueName="[calendario].[Dia da Semana]" caption="Dia da Semana" attribute="1" time="1" defaultMemberUniqueName="[calendario].[Dia da Semana].[All]" allUniqueName="[calendario].[Dia da Semana].[All]" dimensionUniqueName="[calendario]" displayFolder="" count="0" memberValueDatatype="130" unbalanced="0"/>
    <cacheHierarchy uniqueName="[calendario].[Numero da Semana]" caption="Numero da Semana" attribute="1" time="1" defaultMemberUniqueName="[calendario].[Numero da Semana].[All]" allUniqueName="[calendario].[Numero da Semana].[All]" dimensionUniqueName="[calendario]" displayFolder="" count="2" memberValueDatatype="20" unbalanced="0"/>
    <cacheHierarchy uniqueName="[comissoes].[#]" caption="#" attribute="1" defaultMemberUniqueName="[comissoes].[#].[All]" allUniqueName="[comissoes].[#].[All]" dimensionUniqueName="[comissoes]" displayFolder="" count="0" memberValueDatatype="20" unbalanced="0"/>
    <cacheHierarchy uniqueName="[comissoes].[Ano]" caption="Ano" attribute="1" time="1" defaultMemberUniqueName="[comissoes].[Ano].[All]" allUniqueName="[comissoes].[Ano].[All]" dimensionUniqueName="[comissoes]" displayFolder="" count="0" memberValueDatatype="7" unbalanced="0"/>
    <cacheHierarchy uniqueName="[comissoes].[Jogo]" caption="Jogo" attribute="1" defaultMemberUniqueName="[comissoes].[Jogo].[All]" allUniqueName="[comissoes].[Jogo].[All]" dimensionUniqueName="[comissoes]" displayFolder="" count="0" memberValueDatatype="130" unbalanced="0"/>
    <cacheHierarchy uniqueName="[comissoes].[Comissão]" caption="Comissão" attribute="1" defaultMemberUniqueName="[comissoes].[Comissão].[All]" allUniqueName="[comissoes].[Comissão].[All]" dimensionUniqueName="[comissoes]" displayFolder="" count="0" memberValueDatatype="5" unbalanced="0"/>
    <cacheHierarchy uniqueName="[comissoes].[Grupo de Jogos]" caption="Grupo de Jogos" attribute="1" defaultMemberUniqueName="[comissoes].[Grupo de Jogos].[All]" allUniqueName="[comissoes].[Grupo de Jogos].[All]" dimensionUniqueName="[comissoes]" displayFolder="" count="0" memberValueDatatype="130" unbalanced="0"/>
    <cacheHierarchy uniqueName="[import data].[Jogo]" caption="Jogo" attribute="1" defaultMemberUniqueName="[import data].[Jogo].[All]" allUniqueName="[import data].[Jogo].[All]" dimensionUniqueName="[import data]" displayFolder="" count="0" memberValueDatatype="130" unbalanced="0"/>
    <cacheHierarchy uniqueName="[import data].[Vendas]" caption="Vendas" attribute="1" defaultMemberUniqueName="[import data].[Vendas].[All]" allUniqueName="[import data].[Vendas].[All]" dimensionUniqueName="[import data]" displayFolder="" count="0" memberValueDatatype="5" unbalanced="0"/>
    <cacheHierarchy uniqueName="[import data].[Jogo-Ano]" caption="Jogo-Ano" attribute="1" defaultMemberUniqueName="[import data].[Jogo-Ano].[All]" allUniqueName="[import data].[Jogo-Ano].[All]" dimensionUniqueName="[import data]" displayFolder="" count="0" memberValueDatatype="130" unbalanced="0"/>
    <cacheHierarchy uniqueName="[import data].[Objectivos]" caption="Objectivos" attribute="1" defaultMemberUniqueName="[import data].[Objectivos].[All]" allUniqueName="[import data].[Objectivos].[All]" dimensionUniqueName="[import data]" displayFolder="" count="0" memberValueDatatype="5" unbalanced="0"/>
    <cacheHierarchy uniqueName="[import data].[Grupo de Jogos]" caption="Grupo de Jogos" attribute="1" defaultMemberUniqueName="[import data].[Grupo de Jogos].[All]" allUniqueName="[import data].[Grupo de Jogos].[All]" dimensionUniqueName="[import data]" displayFolder="" count="0" memberValueDatatype="130" unbalanced="0"/>
    <cacheHierarchy uniqueName="[import data].[% Comissão]" caption="% Comissão" attribute="1" defaultMemberUniqueName="[import data].[% Comissão].[All]" allUniqueName="[import data].[% Comissão].[All]" dimensionUniqueName="[import data]" displayFolder="" count="0" memberValueDatatype="5" unbalanced="0"/>
    <cacheHierarchy uniqueName="[import data].[Comissão]" caption="Comissão" attribute="1" defaultMemberUniqueName="[import data].[Comissão].[All]" allUniqueName="[import data].[Comissão].[All]" dimensionUniqueName="[import data]" displayFolder="" count="0" memberValueDatatype="6" unbalanced="0"/>
    <cacheHierarchy uniqueName="[jogos].[#]" caption="#" attribute="1" defaultMemberUniqueName="[jogos].[#].[All]" allUniqueName="[jogos].[#].[All]" dimensionUniqueName="[jogos]" displayFolder="" count="0" memberValueDatatype="20" unbalanced="0"/>
    <cacheHierarchy uniqueName="[jogos].[Jogo]" caption="Jogo" attribute="1" defaultMemberUniqueName="[jogos].[Jogo].[All]" allUniqueName="[jogos].[Jogo].[All]" dimensionUniqueName="[jogos]" displayFolder="" count="0" memberValueDatatype="130" unbalanced="0"/>
    <cacheHierarchy uniqueName="[jogos].[Grupo de Jogos]" caption="Grupo de Jogos" attribute="1" defaultMemberUniqueName="[jogos].[Grupo de Jogos].[All]" allUniqueName="[jogos].[Grupo de Jogos].[All]" dimensionUniqueName="[jogos]" displayFolder="" count="0" memberValueDatatype="130" unbalanced="0"/>
    <cacheHierarchy uniqueName="[jogos].[Tipo de Jogo]" caption="Tipo de Jogo" attribute="1" defaultMemberUniqueName="[jogos].[Tipo de Jogo].[All]" allUniqueName="[jogos].[Tipo de Jogo].[All]" dimensionUniqueName="[jogos]" displayFolder="" count="0" memberValueDatatype="130" unbalanced="0"/>
    <cacheHierarchy uniqueName="[objectivos].[#]" caption="#" attribute="1" defaultMemberUniqueName="[objectivos].[#].[All]" allUniqueName="[objectivos].[#].[All]" dimensionUniqueName="[objectivos]" displayFolder="" count="0" memberValueDatatype="20" unbalanced="0"/>
    <cacheHierarchy uniqueName="[objectivos].[Objectivos]" caption="Objectivos" attribute="1" defaultMemberUniqueName="[objectivos].[Objectivos].[All]" allUniqueName="[objectivos].[Objectivos].[All]" dimensionUniqueName="[objectivos]" displayFolder="" count="0" memberValueDatatype="5" unbalanced="0"/>
    <cacheHierarchy uniqueName="[objectivos].[Grupo de Jogos]" caption="Grupo de Jogos" attribute="1" defaultMemberUniqueName="[objectivos].[Grupo de Jogos].[All]" allUniqueName="[objectivos].[Grupo de Jogos].[All]" dimensionUniqueName="[objectivos]" displayFolder="" count="0" memberValueDatatype="130" unbalanced="0"/>
    <cacheHierarchy uniqueName="[objectivos].[Ano]" caption="Ano" attribute="1" time="1" defaultMemberUniqueName="[objectivos].[Ano].[All]" allUniqueName="[objectivos].[Ano].[All]" dimensionUniqueName="[objectivos]" displayFolder="" count="0" memberValueDatatype="7" unbalanced="0"/>
    <cacheHierarchy uniqueName="[objectivos].[Jogo]" caption="Jogo" attribute="1" defaultMemberUniqueName="[objectivos].[Jogo].[All]" allUniqueName="[objectivos].[Jogo].[All]" dimensionUniqueName="[objectivos]" displayFolder="" count="0" memberValueDatatype="130" unbalanced="0"/>
    <cacheHierarchy uniqueName="[objectivos].[Jogo-Ano]" caption="Jogo-Ano" attribute="1" defaultMemberUniqueName="[objectivos].[Jogo-Ano].[All]" allUniqueName="[objectivos].[Jogo-Ano].[All]" dimensionUniqueName="[objectivos]" displayFolder="" count="0" memberValueDatatype="130" unbalanced="0"/>
    <cacheHierarchy uniqueName="[prestacao].[Date]" caption="Date" attribute="1" time="1" defaultMemberUniqueName="[prestacao].[Date].[All]" allUniqueName="[prestacao].[Date].[All]" dimensionUniqueName="[prestacao]" displayFolder="" count="0" memberValueDatatype="7" unbalanced="0"/>
    <cacheHierarchy uniqueName="[prestacao].[Value]" caption="Value" attribute="1" defaultMemberUniqueName="[prestacao].[Value].[All]" allUniqueName="[prestacao].[Value].[All]" dimensionUniqueName="[prestacao]" displayFolder="" count="0" memberValueDatatype="5" unbalanced="0"/>
    <cacheHierarchy uniqueName="[import data].[Ano]" caption="Ano" attribute="1" defaultMemberUniqueName="[import data].[Ano].[All]" allUniqueName="[import data].[Ano].[All]" dimensionUniqueName="[import data]" displayFolder="" count="0" memberValueDatatype="20" unbalanced="0" hidden="1"/>
    <cacheHierarchy uniqueName="[import data].[Data]" caption="Data" attribute="1" time="1" defaultMemberUniqueName="[import data].[Data].[All]" allUniqueName="[import data].[Data].[All]" dimensionUniqueName="[import data]" displayFolder="" count="0" memberValueDatatype="7" unbalanced="0" hidden="1"/>
    <cacheHierarchy uniqueName="[import data].[Numero da Semana]" caption="Numero da Semana" attribute="1" defaultMemberUniqueName="[import data].[Numero da Semana].[All]" allUniqueName="[import data].[Numero da Semana].[All]" dimensionUniqueName="[import data]" displayFolder="" count="0" memberValueDatatype="20" unbalanced="0" hidden="1"/>
    <cacheHierarchy uniqueName="[Measures].[Soma de Vendas]" caption="Soma de Vendas" measure="1" displayFolder="" measureGroup="import data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Vendas]" caption="TotalVendas" measure="1" displayFolder="" measureGroup="import data" count="0"/>
    <cacheHierarchy uniqueName="[Measures].[TotalObjectivos]" caption="TotalObjectivos" measure="1" displayFolder="" measureGroup="import data" count="0"/>
    <cacheHierarchy uniqueName="[Measures].[Var%]" caption="Var%" measure="1" displayFolder="" measureGroup="import data" count="0"/>
    <cacheHierarchy uniqueName="[Measures].[VarEuros]" caption="VarEuros" measure="1" displayFolder="" measureGroup="import data" count="0"/>
    <cacheHierarchy uniqueName="[Measures].[VendasSemanaAnterior]" caption="VendasSemanaAnterior" measure="1" displayFolder="" measureGroup="import data" count="0"/>
    <cacheHierarchy uniqueName="[Measures].[VendasYTD]" caption="VendasYTD" measure="1" displayFolder="" measureGroup="import data" count="0"/>
    <cacheHierarchy uniqueName="[Measures].[VendasMTD]" caption="VendasMTD" measure="1" displayFolder="" measureGroup="import data" count="0"/>
    <cacheHierarchy uniqueName="[Measures].[VendasWTD]" caption="VendasWTD" measure="1" displayFolder="" measureGroup="import data" count="0"/>
    <cacheHierarchy uniqueName="[Measures].[VendasLWTD]" caption="VendasLWTD" measure="1" displayFolder="" measureGroup="import data" count="0"/>
    <cacheHierarchy uniqueName="[Measures].[ObjectivosYTD]" caption="ObjectivosYTD" measure="1" displayFolder="" measureGroup="import data" count="0"/>
    <cacheHierarchy uniqueName="[Measures].[ObjectivosMTD]" caption="ObjectivosMTD" measure="1" displayFolder="" measureGroup="import data" count="0"/>
    <cacheHierarchy uniqueName="[Measures].[ObjectivosWTD]" caption="ObjectivosWTD" measure="1" displayFolder="" measureGroup="import data" count="0"/>
    <cacheHierarchy uniqueName="[Measures].[PrestaçãoYTD]" caption="PrestaçãoYTD" measure="1" displayFolder="" measureGroup="prestacao" count="0"/>
    <cacheHierarchy uniqueName="[Measures].[PrestaçãoMTD]" caption="PrestaçãoMTD" measure="1" displayFolder="" measureGroup="prestacao" count="0"/>
    <cacheHierarchy uniqueName="[Measures].[PrestacaoWTD]" caption="PrestacaoWTD" measure="1" displayFolder="" measureGroup="prestacao" count="0"/>
    <cacheHierarchy uniqueName="[Measures].[PrestaçãoLWTD]" caption="PrestaçãoLWTD" measure="1" displayFolder="" measureGroup="prestacao" count="0"/>
    <cacheHierarchy uniqueName="[Measures].[VendasLYTD]" caption="VendasLYTD" measure="1" displayFolder="" measureGroup="import data" count="0"/>
    <cacheHierarchy uniqueName="[Measures].[VendasLYSWTD]" caption="VendasLYSWTD" measure="1" displayFolder="" measureGroup="import data" count="0"/>
    <cacheHierarchy uniqueName="[Measures].[TotalComissão]" caption="TotalComissão" measure="1" displayFolder="" measureGroup="import data" count="0"/>
    <cacheHierarchy uniqueName="[Measures].[ComissãoYTD]" caption="ComissãoYTD" measure="1" displayFolder="" measureGroup="import data" count="0"/>
    <cacheHierarchy uniqueName="[Measures].[PrestaçãoLYTD]" caption="PrestaçãoLYTD" measure="1" displayFolder="" measureGroup="prestacao" count="0"/>
    <cacheHierarchy uniqueName="[Measures].[PrestaçãoLYSWTD]" caption="PrestaçãoLYSWTD" measure="1" displayFolder="" measureGroup="prestacao" count="0"/>
    <cacheHierarchy uniqueName="[Measures].[__XL_Count Calendário]" caption="__XL_Count Calendário" measure="1" displayFolder="" measureGroup="calendario" count="0" hidden="1"/>
    <cacheHierarchy uniqueName="[Measures].[__XL_Count import data]" caption="__XL_Count import data" measure="1" displayFolder="" measureGroup="import data" count="0" hidden="1"/>
    <cacheHierarchy uniqueName="[Measures].[__XL_Count prestacao]" caption="__XL_Count prestacao" measure="1" displayFolder="" measureGroup="prestacao" count="0" hidden="1"/>
    <cacheHierarchy uniqueName="[Measures].[__XL_Count comissoes]" caption="__XL_Count comissoes" measure="1" displayFolder="" measureGroup="comissoes" count="0" hidden="1"/>
    <cacheHierarchy uniqueName="[Measures].[__XL_Count objectivos]" caption="__XL_Count objectivos" measure="1" displayFolder="" measureGroup="objectivos" count="0" hidden="1"/>
    <cacheHierarchy uniqueName="[Measures].[__XL_Count jogos]" caption="__XL_Count jogos" measure="1" displayFolder="" measureGroup="jogos" count="0" hidden="1"/>
    <cacheHierarchy uniqueName="[Measures].[__Não foram definidas medidas]" caption="__Não foram definidas medidas" measure="1" displayFolder="" count="0" hidden="1"/>
    <cacheHierarchy uniqueName="[Measures].[Soma de Value]" caption="Soma de Value" measure="1" displayFolder="" measureGroup="prestacao" count="0" hidden="1"/>
  </cacheHierarchies>
  <kpis count="0"/>
  <extLst>
    <ext xmlns:x14="http://schemas.microsoft.com/office/spreadsheetml/2009/9/main" uri="{725AE2AE-9491-48be-B2B4-4EB974FC3084}">
      <x14:pivotCacheDefinition slicerData="1" pivotCacheId="186698893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4940B-B16A-45EC-BF30-554FBEE52CB9}" name="vendasVSobjectivos" cacheId="40" applyNumberFormats="0" applyBorderFormats="0" applyFontFormats="0" applyPatternFormats="0" applyAlignmentFormats="0" applyWidthHeightFormats="1" dataCaption="Valores" tag="da983038-e73d-46b8-baf3-61dea490b169" updatedVersion="8" minRefreshableVersion="3" useAutoFormatting="1" subtotalHiddenItems="1" rowGrandTotals="0" colGrandTotals="0" itemPrintTitles="1" createdVersion="8" indent="0" outline="1" outlineData="1" multipleFieldFilters="0" chartFormat="37" rowHeaderCaption="Semana">
  <location ref="B14:C75" firstHeaderRow="1" firstDataRow="1" firstDataCol="1"/>
  <pivotFields count="4">
    <pivotField axis="axisRow" allDrilled="1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6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 v="12"/>
    </i>
    <i>
      <x v="3"/>
    </i>
    <i r="1">
      <x v="13"/>
    </i>
    <i r="1">
      <x v="14"/>
    </i>
    <i r="1">
      <x v="15"/>
    </i>
    <i r="1">
      <x v="16"/>
    </i>
    <i>
      <x v="4"/>
    </i>
    <i r="1">
      <x v="17"/>
    </i>
    <i r="1">
      <x v="18"/>
    </i>
    <i r="1">
      <x v="19"/>
    </i>
    <i r="1">
      <x v="20"/>
    </i>
    <i r="1">
      <x v="21"/>
    </i>
    <i>
      <x v="5"/>
    </i>
    <i r="1">
      <x v="22"/>
    </i>
    <i r="1">
      <x v="23"/>
    </i>
    <i r="1">
      <x v="24"/>
    </i>
    <i r="1">
      <x v="25"/>
    </i>
    <i>
      <x v="6"/>
    </i>
    <i r="1">
      <x v="26"/>
    </i>
    <i r="1">
      <x v="27"/>
    </i>
    <i r="1">
      <x v="28"/>
    </i>
    <i r="1">
      <x v="29"/>
    </i>
    <i>
      <x v="7"/>
    </i>
    <i r="1">
      <x v="30"/>
    </i>
    <i r="1">
      <x v="31"/>
    </i>
    <i r="1">
      <x v="32"/>
    </i>
    <i r="1">
      <x v="33"/>
    </i>
    <i r="1">
      <x v="34"/>
    </i>
    <i>
      <x v="8"/>
    </i>
    <i r="1">
      <x v="35"/>
    </i>
    <i r="1">
      <x v="36"/>
    </i>
    <i r="1">
      <x v="37"/>
    </i>
    <i r="1">
      <x v="38"/>
    </i>
    <i>
      <x v="9"/>
    </i>
    <i r="1">
      <x v="39"/>
    </i>
    <i r="1">
      <x v="40"/>
    </i>
    <i r="1">
      <x v="41"/>
    </i>
    <i r="1">
      <x v="42"/>
    </i>
    <i r="1">
      <x v="43"/>
    </i>
    <i>
      <x v="10"/>
    </i>
    <i r="1">
      <x v="44"/>
    </i>
    <i r="1">
      <x v="45"/>
    </i>
    <i r="1">
      <x v="46"/>
    </i>
    <i r="1">
      <x v="47"/>
    </i>
    <i>
      <x v="11"/>
    </i>
    <i r="1">
      <x v="48"/>
    </i>
  </rowItems>
  <colItems count="1">
    <i/>
  </colItems>
  <dataFields count="1">
    <dataField fld="2" subtotal="count" baseField="0" baseItem="0"/>
  </dataFields>
  <chartFormats count="4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rowHierarchiesUsage count="2">
    <rowHierarchyUsage hierarchyUsage="4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jogos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02D57-6DD0-4835-941D-AA66C7628951}" name="Tabela Dinâmica2" cacheId="37" applyNumberFormats="0" applyBorderFormats="0" applyFontFormats="0" applyPatternFormats="0" applyAlignmentFormats="0" applyWidthHeightFormats="1" dataCaption="Valores" tag="e8b87ead-1ee5-475c-8351-6398a9950ba6" updatedVersion="8" minRefreshableVersion="3" useAutoFormatting="1" subtotalHiddenItems="1" itemPrintTitles="1" createdVersion="5" indent="0" outline="1" outlineData="1" multipleFieldFilters="0" rowHeaderCaption="Semana">
  <location ref="B3:C62" firstHeaderRow="1" firstDataRow="1" firstDataCol="1"/>
  <pivotFields count="4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allDrilled="1" subtotalTop="0" showAll="0" dataSourceSort="1" defaultSubtotal="0" defaultAttributeDrillState="1">
      <items count="4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2">
    <field x="0"/>
    <field x="1"/>
  </rowFields>
  <rowItems count="5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 r="1">
      <x v="12"/>
    </i>
    <i>
      <x v="3"/>
    </i>
    <i r="1">
      <x v="13"/>
    </i>
    <i r="1">
      <x v="14"/>
    </i>
    <i r="1">
      <x v="15"/>
    </i>
    <i r="1">
      <x v="16"/>
    </i>
    <i>
      <x v="4"/>
    </i>
    <i r="1">
      <x v="17"/>
    </i>
    <i r="1">
      <x v="18"/>
    </i>
    <i r="1">
      <x v="19"/>
    </i>
    <i r="1">
      <x v="20"/>
    </i>
    <i r="1">
      <x v="21"/>
    </i>
    <i>
      <x v="5"/>
    </i>
    <i r="1">
      <x v="22"/>
    </i>
    <i r="1">
      <x v="23"/>
    </i>
    <i r="1">
      <x v="24"/>
    </i>
    <i r="1">
      <x v="25"/>
    </i>
    <i>
      <x v="6"/>
    </i>
    <i r="1">
      <x v="26"/>
    </i>
    <i r="1">
      <x v="27"/>
    </i>
    <i r="1">
      <x v="28"/>
    </i>
    <i r="1">
      <x v="29"/>
    </i>
    <i>
      <x v="7"/>
    </i>
    <i r="1">
      <x v="30"/>
    </i>
    <i r="1">
      <x v="31"/>
    </i>
    <i r="1">
      <x v="32"/>
    </i>
    <i r="1">
      <x v="33"/>
    </i>
    <i r="1">
      <x v="34"/>
    </i>
    <i>
      <x v="8"/>
    </i>
    <i r="1">
      <x v="35"/>
    </i>
    <i r="1">
      <x v="36"/>
    </i>
    <i r="1">
      <x v="37"/>
    </i>
    <i r="1">
      <x v="38"/>
    </i>
    <i>
      <x v="9"/>
    </i>
    <i r="1">
      <x v="39"/>
    </i>
    <i r="1">
      <x v="40"/>
    </i>
    <i r="1">
      <x v="41"/>
    </i>
    <i r="1">
      <x v="42"/>
    </i>
    <i r="1">
      <x v="43"/>
    </i>
    <i>
      <x v="10"/>
    </i>
    <i r="1">
      <x v="44"/>
    </i>
    <i r="1">
      <x v="45"/>
    </i>
    <i r="1">
      <x v="46"/>
    </i>
    <i t="grand">
      <x/>
    </i>
  </rowItems>
  <colItems count="1">
    <i/>
  </colItems>
  <dataFields count="1">
    <dataField name="Soma de Vendas" fld="3" baseField="0" baseItem="0"/>
  </dataFields>
  <formats count="10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</format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2">
    <rowHierarchyUsage hierarchyUsage="4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5000C-A409-4B7D-A39C-331E73105861}" name="vendasytd" cacheId="31" applyNumberFormats="0" applyBorderFormats="0" applyFontFormats="0" applyPatternFormats="0" applyAlignmentFormats="0" applyWidthHeightFormats="1" dataCaption="Valores" tag="b7340ec4-8bcf-45ed-a543-acc996f4ca4d" updatedVersion="8" minRefreshableVersion="3" subtotalHiddenItems="1" itemPrintTitles="1" createdVersion="5" indent="0" outline="1" outlineData="1" multipleFieldFilters="0">
  <location ref="D3:H4" firstHeaderRow="0" firstDataRow="1" firstDataCol="0"/>
  <pivotFields count="7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4" subtotal="count" baseField="0" baseItem="0"/>
    <dataField fld="5" subtotal="count" baseField="0" baseItem="0"/>
    <dataField fld="6" subtotal="count" baseField="0" baseItem="0"/>
    <dataField fld="3" subtotal="count" baseField="0" baseItem="0"/>
  </dataField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multipleItemSelectionAllowed="1" dragToData="1">
      <members count="1" level="1">
        <member name="[calendario].[Mês].&amp;[mai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81318-A776-4089-BDEA-23328B676D52}" name="vendasjogossemana" cacheId="19" applyNumberFormats="0" applyBorderFormats="0" applyFontFormats="0" applyPatternFormats="0" applyAlignmentFormats="0" applyWidthHeightFormats="1" dataCaption="Valores" tag="22469d0e-faf6-466e-82cd-e5381f6b2449" updatedVersion="8" minRefreshableVersion="3" useAutoFormatting="1" subtotalHiddenItems="1" itemPrintTitles="1" createdVersion="8" indent="0" outline="1" outlineData="1" multipleFieldFilters="0">
  <location ref="D24:H34" firstHeaderRow="0" firstDataRow="1" firstDataCol="1"/>
  <pivotFields count="9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10">
    <i>
      <x v="5"/>
    </i>
    <i>
      <x v="2"/>
    </i>
    <i>
      <x/>
    </i>
    <i>
      <x v="1"/>
    </i>
    <i>
      <x v="3"/>
    </i>
    <i>
      <x v="7"/>
    </i>
    <i>
      <x v="4"/>
    </i>
    <i>
      <x v="6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6"/>
    <dataField fld="4" subtotal="count" baseField="0" baseItem="0"/>
    <dataField fld="5" subtotal="count" baseField="0" baseItem="0"/>
    <dataField fld="6" subtotal="count" baseField="0" baseItem="0"/>
  </dataField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Numero da Semana].&amp;[4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jogos]"/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7775F-4167-4666-BC33-C587371A0CAB}" name="vendassemanaanterior" cacheId="28" applyNumberFormats="0" applyBorderFormats="0" applyFontFormats="0" applyPatternFormats="0" applyAlignmentFormats="0" applyWidthHeightFormats="1" dataCaption="Valores" tag="37497f96-c21f-43fe-86b7-edd09edc370c" updatedVersion="8" minRefreshableVersion="3" useAutoFormatting="1" subtotalHiddenItems="1" itemPrintTitles="1" createdVersion="5" indent="0" outline="1" outlineData="1" multipleFieldFilters="0">
  <location ref="B3:B4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Numero da Semana].&amp;[4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CA4B3-9A8E-4EEF-BAF3-F2BA5553DBD5}" name="vendasjogosano" cacheId="49" applyNumberFormats="0" applyBorderFormats="0" applyFontFormats="0" applyPatternFormats="0" applyAlignmentFormats="0" applyWidthHeightFormats="1" dataCaption="Valores" tag="7341ccc9-e4a5-4114-8d00-9a6d6ff96e24" updatedVersion="8" minRefreshableVersion="3" useAutoFormatting="1" subtotalHiddenItems="1" itemPrintTitles="1" createdVersion="8" indent="0" outline="1" outlineData="1" multipleFieldFilters="0">
  <location ref="D38:I48" firstHeaderRow="0" firstDataRow="1" firstDataCol="1"/>
  <pivotFields count="9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7"/>
  </rowFields>
  <rowItems count="10">
    <i>
      <x v="5"/>
    </i>
    <i>
      <x v="2"/>
    </i>
    <i>
      <x v="3"/>
    </i>
    <i>
      <x v="1"/>
    </i>
    <i>
      <x v="7"/>
    </i>
    <i>
      <x v="4"/>
    </i>
    <i>
      <x/>
    </i>
    <i>
      <x v="6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3" subtotal="count" baseField="0" baseItem="0"/>
    <dataField fld="4" subtotal="count" baseField="0" baseItem="0"/>
    <dataField fld="5" subtotal="count" baseField="0" baseItem="0"/>
    <dataField fld="8" subtotal="count" baseField="0" baseItem="0"/>
  </dataField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multipleItemSelectionAllowed="1" dragToData="1">
      <members count="1" level="1">
        <member name="[calendario].[Mês].&amp;[mai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jogos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F2B50-ECC7-469A-9B68-F83E63CC2E72}" name="totalvendas" cacheId="16" applyNumberFormats="0" applyBorderFormats="0" applyFontFormats="0" applyPatternFormats="0" applyAlignmentFormats="0" applyWidthHeightFormats="1" dataCaption="Valores" tag="ed178f91-261c-4972-a14c-779eeebf761c" updatedVersion="8" minRefreshableVersion="3" useAutoFormatting="1" subtotalHiddenItems="1" itemPrintTitles="1" createdVersion="5" indent="0" outline="1" outlineData="1" multipleFieldFilters="0">
  <location ref="K3:K4" firstHeaderRow="1" firstDataRow="1" firstDataCol="0"/>
  <pivotFields count="3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Numero da Semana].&amp;[2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4E9D2-F932-4EBB-A5AC-810285E799D8}" name="vendasmtd" cacheId="25" applyNumberFormats="0" applyBorderFormats="0" applyFontFormats="0" applyPatternFormats="0" applyAlignmentFormats="0" applyWidthHeightFormats="1" dataCaption="Valores" tag="3bb148e7-d5cc-42e9-9da9-a15a63993d8c" updatedVersion="8" minRefreshableVersion="3" useAutoFormatting="1" subtotalHiddenItems="1" itemPrintTitles="1" createdVersion="8" indent="0" outline="1" outlineData="1" multipleFieldFilters="0">
  <location ref="D7:G8" firstHeaderRow="0" firstDataRow="1" firstDataCol="0"/>
  <pivotFields count="6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3" subtotal="count" baseField="0" baseItem="0"/>
    <dataField fld="4" subtotal="count" baseField="0" baseItem="0"/>
    <dataField fld="5" subtotal="count" baseField="0" baseItem="0"/>
  </dataFields>
  <formats count="1">
    <format dxfId="6">
      <pivotArea outline="0" collapsedLevelsAreSubtotals="1" fieldPosition="0"/>
    </format>
  </format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multipleItemSelectionAllowed="1" dragToData="1">
      <members count="1" level="1">
        <member name="[calendario].[Mês].&amp;[dezembr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B92D3-9531-4B1D-8135-43ECFAD72C48}" name="vendaslwtd" cacheId="22" applyNumberFormats="0" applyBorderFormats="0" applyFontFormats="0" applyPatternFormats="0" applyAlignmentFormats="0" applyWidthHeightFormats="1" dataCaption="Valores" tag="606344db-480e-438d-af65-098ae9323788" updatedVersion="8" minRefreshableVersion="3" useAutoFormatting="1" subtotalHiddenItems="1" itemPrintTitles="1" createdVersion="8" indent="0" outline="1" outlineData="1" multipleFieldFilters="0">
  <location ref="D15:E16" firstHeaderRow="0" firstDataRow="1" firstDataCol="0"/>
  <pivotFields count="7"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 multipleItemSelectionAllowed="1">
      <members count="1" level="1">
        <member name="[calendario].[Hierarquia da Data].[Ano].&amp;[2024]"/>
      </members>
    </pivotHierarchy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Numero da Semana].&amp;[4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D99A5-DE78-43CC-8E84-B1924F14D6E1}" name="Tabela Dinâmica3" cacheId="43" applyNumberFormats="0" applyBorderFormats="0" applyFontFormats="0" applyPatternFormats="0" applyAlignmentFormats="0" applyWidthHeightFormats="1" dataCaption="Valores" tag="2ec703de-eb44-43ac-8add-0e0f2d7f1c2d" updatedVersion="8" minRefreshableVersion="3" useAutoFormatting="1" subtotalHiddenItems="1" itemPrintTitles="1" createdVersion="8" indent="0" outline="1" outlineData="1" multipleFieldFilters="0">
  <location ref="K24:P25" firstHeaderRow="0" firstDataRow="1" firstDataCol="0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1" numFmtId="166"/>
    <dataField fld="1" subtotal="count" baseField="0" baseItem="1" numFmtId="166"/>
    <dataField fld="2" subtotal="count" baseField="0" baseItem="2" numFmtId="170"/>
    <dataField fld="3" subtotal="count" baseField="0" baseItem="3" numFmtId="170"/>
    <dataField fld="7" subtotal="count" baseField="0" baseItem="0"/>
    <dataField fld="8" subtotal="count" baseField="0" baseItem="0"/>
  </dataField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multipleItemSelectionAllowed="1" dragToData="1">
      <members count="1" level="1">
        <member name="[calendario].[Mês].&amp;[dezembro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calendario].[Numero da Semana].&amp;[4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stacao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6C23A-7B9F-4D41-91E9-2435C9294235}" name="vendaswtd" cacheId="46" applyNumberFormats="0" applyBorderFormats="0" applyFontFormats="0" applyPatternFormats="0" applyAlignmentFormats="0" applyWidthHeightFormats="1" dataCaption="Valores" tag="03e8677e-f222-47a1-83f5-700062b17622" updatedVersion="8" minRefreshableVersion="3" useAutoFormatting="1" subtotalHiddenItems="1" itemPrintTitles="1" createdVersion="8" indent="0" outline="1" outlineData="1" multipleFieldFilters="0">
  <location ref="D11:G12" firstHeaderRow="0" firstDataRow="1" firstDataCol="0"/>
  <pivotFields count="10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/>
    <pivotField subtotalTop="0" showAll="0" dataSourceSort="1" defaultSubtotal="0"/>
    <pivotField subtotalTop="0" showAll="0" dataSourceSort="1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7" subtotal="count" baseField="0" baseItem="0"/>
    <dataField fld="8" subtotal="count" baseField="0" baseItem="0"/>
    <dataField fld="9" subtotal="count" baseField="0" baseItem="0"/>
  </dataFields>
  <formats count="1">
    <format dxfId="7">
      <pivotArea outline="0" collapsedLevelsAreSubtotals="1" fieldPosition="0"/>
    </format>
  </format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 multipleItemSelectionAllowed="1">
      <members count="1" level="1">
        <member name="[calendario].[Hierarquia da Data].[Ano].&amp;[2024]"/>
      </members>
    </pivotHierarchy>
    <pivotHierarchy multipleItemSelectionAllowed="1" dragToData="1">
      <members count="1" level="1">
        <member name="[calendario].[Mês].&amp;[dezembro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calendario].[Numero da Semana].&amp;[4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5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41D2D-91FF-4C8D-ADFB-2395874373CA}" name="Tabela Dinâmica2" cacheId="34" applyNumberFormats="0" applyBorderFormats="0" applyFontFormats="0" applyPatternFormats="0" applyAlignmentFormats="0" applyWidthHeightFormats="1" dataCaption="Valores" tag="95b1efa5-2cb9-4bdb-acf6-596c20b3e464" updatedVersion="8" minRefreshableVersion="3" useAutoFormatting="1" subtotalHiddenItems="1" itemPrintTitles="1" createdVersion="5" indent="0" outline="1" outlineData="1" multipleFieldFilters="0">
  <location ref="B3:C53" firstHeaderRow="1" firstDataRow="1" firstDataCol="1"/>
  <pivotFields count="3">
    <pivotField axis="axisRow" allDrilled="1" subtotalTop="0" showAll="0" sortType="descending" defaultSubtotal="0" defaultAttributeDrillState="1">
      <items count="49"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fld="2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grandRow="1" outline="0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grandRow="1" outline="0" fieldPosition="0"/>
    </format>
  </formats>
  <pivotHierarchies count="67">
    <pivotHierarchy dragToData="1"/>
    <pivotHierarchy multipleItemSelectionAllowed="1" dragToData="1">
      <members count="1" level="1">
        <member name="[calendario].[Ano].&amp;[2025]"/>
      </members>
    </pivotHierarchy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import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a_Semana" xr10:uid="{DAD5C2E9-1108-44C3-B1A5-07A6215366C0}" sourceName="[calendario].[Numero da Semana]">
  <pivotTables>
    <pivotTable tabId="5" name="vendassemanaanterior"/>
    <pivotTable tabId="5" name="vendaslwtd"/>
    <pivotTable tabId="5" name="vendasjogossemana"/>
    <pivotTable tabId="5" name="vendaswtd"/>
    <pivotTable tabId="5" name="Tabela Dinâmica3"/>
  </pivotTables>
  <data>
    <olap pivotCacheId="1866988938">
      <levels count="2">
        <level uniqueName="[calendario].[Numero da Semana].[(All)]" sourceCaption="(All)" count="0"/>
        <level uniqueName="[calendario].[Numero da Semana].[Numero da Semana]" sourceCaption="Numero da Semana" count="53" sortOrder="ascending">
          <ranges>
            <range startItem="0">
              <i n="[calendario].[Numero da Semana].&amp;[1]" c="1"/>
              <i n="[calendario].[Numero da Semana].&amp;[2]" c="2"/>
              <i n="[calendario].[Numero da Semana].&amp;[3]" c="3"/>
              <i n="[calendario].[Numero da Semana].&amp;[4]" c="4"/>
              <i n="[calendario].[Numero da Semana].&amp;[5]" c="5"/>
              <i n="[calendario].[Numero da Semana].&amp;[6]" c="6"/>
              <i n="[calendario].[Numero da Semana].&amp;[7]" c="7"/>
              <i n="[calendario].[Numero da Semana].&amp;[8]" c="8"/>
              <i n="[calendario].[Numero da Semana].&amp;[9]" c="9"/>
              <i n="[calendario].[Numero da Semana].&amp;[10]" c="10"/>
              <i n="[calendario].[Numero da Semana].&amp;[11]" c="11"/>
              <i n="[calendario].[Numero da Semana].&amp;[12]" c="12"/>
              <i n="[calendario].[Numero da Semana].&amp;[13]" c="13"/>
              <i n="[calendario].[Numero da Semana].&amp;[14]" c="14"/>
              <i n="[calendario].[Numero da Semana].&amp;[15]" c="15"/>
              <i n="[calendario].[Numero da Semana].&amp;[16]" c="16"/>
              <i n="[calendario].[Numero da Semana].&amp;[17]" c="17"/>
              <i n="[calendario].[Numero da Semana].&amp;[18]" c="18"/>
              <i n="[calendario].[Numero da Semana].&amp;[19]" c="19"/>
              <i n="[calendario].[Numero da Semana].&amp;[20]" c="20"/>
              <i n="[calendario].[Numero da Semana].&amp;[21]" c="21"/>
              <i n="[calendario].[Numero da Semana].&amp;[22]" c="22"/>
              <i n="[calendario].[Numero da Semana].&amp;[23]" c="23"/>
              <i n="[calendario].[Numero da Semana].&amp;[24]" c="24"/>
              <i n="[calendario].[Numero da Semana].&amp;[25]" c="25"/>
              <i n="[calendario].[Numero da Semana].&amp;[26]" c="26"/>
              <i n="[calendario].[Numero da Semana].&amp;[27]" c="27"/>
              <i n="[calendario].[Numero da Semana].&amp;[28]" c="28"/>
              <i n="[calendario].[Numero da Semana].&amp;[29]" c="29"/>
              <i n="[calendario].[Numero da Semana].&amp;[30]" c="30"/>
              <i n="[calendario].[Numero da Semana].&amp;[31]" c="31"/>
              <i n="[calendario].[Numero da Semana].&amp;[32]" c="32"/>
              <i n="[calendario].[Numero da Semana].&amp;[33]" c="33"/>
              <i n="[calendario].[Numero da Semana].&amp;[34]" c="34"/>
              <i n="[calendario].[Numero da Semana].&amp;[35]" c="35"/>
              <i n="[calendario].[Numero da Semana].&amp;[36]" c="36"/>
              <i n="[calendario].[Numero da Semana].&amp;[37]" c="37"/>
              <i n="[calendario].[Numero da Semana].&amp;[38]" c="38"/>
              <i n="[calendario].[Numero da Semana].&amp;[39]" c="39"/>
              <i n="[calendario].[Numero da Semana].&amp;[40]" c="40"/>
              <i n="[calendario].[Numero da Semana].&amp;[41]" c="41"/>
              <i n="[calendario].[Numero da Semana].&amp;[42]" c="42"/>
              <i n="[calendario].[Numero da Semana].&amp;[43]" c="43"/>
              <i n="[calendario].[Numero da Semana].&amp;[44]" c="44"/>
              <i n="[calendario].[Numero da Semana].&amp;[45]" c="45"/>
              <i n="[calendario].[Numero da Semana].&amp;[46]" c="46"/>
              <i n="[calendario].[Numero da Semana].&amp;[47]" c="47"/>
              <i n="[calendario].[Numero da Semana].&amp;[48]" c="48"/>
              <i n="[calendario].[Numero da Semana].&amp;[49]" c="49"/>
              <i n="[calendario].[Numero da Semana].&amp;[50]" c="50"/>
              <i n="[calendario].[Numero da Semana].&amp;[51]" c="51"/>
              <i n="[calendario].[Numero da Semana].&amp;[52]" c="52"/>
              <i n="[calendario].[Numero da Semana].&amp;[53]" c="53"/>
            </range>
          </ranges>
        </level>
      </levels>
      <selections count="1">
        <selection n="[calendario].[Numero da Semana].&amp;[49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io].[Numero da Semana].[Numero da Semana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737DA1BF-8E61-45E5-AB09-7EA3C7E81FFF}" sourceName="[calendario].[Mês]">
  <pivotTables>
    <pivotTable tabId="5" name="vendasmtd"/>
    <pivotTable tabId="5" name="Tabela Dinâmica3"/>
  </pivotTables>
  <data>
    <olap pivotCacheId="1866988938">
      <levels count="2">
        <level uniqueName="[calendario].[Mês].[(All)]" sourceCaption="(All)" count="0"/>
        <level uniqueName="[calendario].[Mês].[Mês]" sourceCaption="Mês" count="12">
          <ranges>
            <range startItem="0">
              <i n="[calendario].[Mês].&amp;[janeiro]" c="janeiro"/>
              <i n="[calendario].[Mês].&amp;[fevereiro]" c="fevereiro"/>
              <i n="[calendario].[Mês].&amp;[março]" c="março"/>
              <i n="[calendario].[Mês].&amp;[abril]" c="abril"/>
              <i n="[calendario].[Mês].&amp;[maio]" c="maio"/>
              <i n="[calendario].[Mês].&amp;[junho]" c="junho"/>
              <i n="[calendario].[Mês].&amp;[julho]" c="julho"/>
              <i n="[calendario].[Mês].&amp;[agosto]" c="agosto"/>
              <i n="[calendario].[Mês].&amp;[setembro]" c="setembro"/>
              <i n="[calendario].[Mês].&amp;[outubro]" c="outubro"/>
              <i n="[calendario].[Mês].&amp;[novembro]" c="novembro"/>
              <i n="[calendario].[Mês].&amp;[dezembro]" c="dezembro"/>
            </range>
          </ranges>
        </level>
      </levels>
      <selections count="1">
        <selection n="[calendario].[Mês].&amp;[dezembro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io].[Mês].[Mês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32659C15-597B-4642-9717-0F0045EF5E8C}" sourceName="[calendario].[Ano]">
  <pivotTables>
    <pivotTable tabId="5" name="vendasjogosano"/>
    <pivotTable tabId="5" name="totalvendas"/>
    <pivotTable tabId="5" name="vendasjogossemana"/>
    <pivotTable tabId="5" name="vendaslwtd"/>
    <pivotTable tabId="5" name="vendasmtd"/>
    <pivotTable tabId="5" name="vendassemanaanterior"/>
    <pivotTable tabId="5" name="vendasytd"/>
    <pivotTable tabId="8" name="Tabela Dinâmica2"/>
    <pivotTable tabId="2" name="Tabela Dinâmica2"/>
    <pivotTable tabId="1" name="vendasVSobjectivos"/>
    <pivotTable tabId="5" name="Tabela Dinâmica3"/>
    <pivotTable tabId="5" name="vendaswtd"/>
  </pivotTables>
  <data>
    <olap pivotCacheId="1866988938">
      <levels count="2">
        <level uniqueName="[calendario].[Ano].[(All)]" sourceCaption="(All)" count="0"/>
        <level uniqueName="[calendario].[Ano].[Ano]" sourceCaption="Ano" count="3">
          <ranges>
            <range startItem="0">
              <i n="[calendario].[Ano].&amp;[2023]" c="2023"/>
              <i n="[calendario].[Ano].&amp;[2024]" c="2024"/>
              <i n="[calendario].[Ano].&amp;[2025]" c="2025"/>
            </range>
          </ranges>
        </level>
      </levels>
      <selections count="1">
        <selection n="[calendario].[Ano].&amp;[2025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a_Semana1" xr10:uid="{2F9EA15D-2C51-446F-B178-5CC974505A37}" sourceName="[calendario].[Numero da Semana]">
  <pivotTables>
    <pivotTable tabId="2" name="Tabela Dinâmica2"/>
  </pivotTables>
  <data>
    <olap pivotCacheId="1866988938">
      <levels count="2">
        <level uniqueName="[calendario].[Numero da Semana].[(All)]" sourceCaption="(All)" count="0"/>
        <level uniqueName="[calendario].[Numero da Semana].[Numero da Semana]" sourceCaption="Numero da Semana" count="53" sortOrder="ascending">
          <ranges>
            <range startItem="0">
              <i n="[calendario].[Numero da Semana].&amp;[1]" c="1"/>
              <i n="[calendario].[Numero da Semana].&amp;[2]" c="2"/>
              <i n="[calendario].[Numero da Semana].&amp;[3]" c="3"/>
              <i n="[calendario].[Numero da Semana].&amp;[4]" c="4"/>
              <i n="[calendario].[Numero da Semana].&amp;[5]" c="5"/>
              <i n="[calendario].[Numero da Semana].&amp;[6]" c="6"/>
              <i n="[calendario].[Numero da Semana].&amp;[7]" c="7"/>
              <i n="[calendario].[Numero da Semana].&amp;[8]" c="8"/>
              <i n="[calendario].[Numero da Semana].&amp;[9]" c="9"/>
              <i n="[calendario].[Numero da Semana].&amp;[10]" c="10"/>
              <i n="[calendario].[Numero da Semana].&amp;[11]" c="11"/>
              <i n="[calendario].[Numero da Semana].&amp;[12]" c="12"/>
              <i n="[calendario].[Numero da Semana].&amp;[13]" c="13"/>
              <i n="[calendario].[Numero da Semana].&amp;[14]" c="14"/>
              <i n="[calendario].[Numero da Semana].&amp;[15]" c="15"/>
              <i n="[calendario].[Numero da Semana].&amp;[16]" c="16"/>
              <i n="[calendario].[Numero da Semana].&amp;[17]" c="17"/>
              <i n="[calendario].[Numero da Semana].&amp;[18]" c="18"/>
              <i n="[calendario].[Numero da Semana].&amp;[19]" c="19"/>
              <i n="[calendario].[Numero da Semana].&amp;[20]" c="20"/>
              <i n="[calendario].[Numero da Semana].&amp;[21]" c="21"/>
              <i n="[calendario].[Numero da Semana].&amp;[22]" c="22"/>
              <i n="[calendario].[Numero da Semana].&amp;[23]" c="23"/>
              <i n="[calendario].[Numero da Semana].&amp;[24]" c="24"/>
              <i n="[calendario].[Numero da Semana].&amp;[25]" c="25"/>
              <i n="[calendario].[Numero da Semana].&amp;[26]" c="26"/>
              <i n="[calendario].[Numero da Semana].&amp;[27]" c="27"/>
              <i n="[calendario].[Numero da Semana].&amp;[28]" c="28"/>
              <i n="[calendario].[Numero da Semana].&amp;[29]" c="29"/>
              <i n="[calendario].[Numero da Semana].&amp;[30]" c="30"/>
              <i n="[calendario].[Numero da Semana].&amp;[31]" c="31"/>
              <i n="[calendario].[Numero da Semana].&amp;[32]" c="32"/>
              <i n="[calendario].[Numero da Semana].&amp;[33]" c="33"/>
              <i n="[calendario].[Numero da Semana].&amp;[34]" c="34"/>
              <i n="[calendario].[Numero da Semana].&amp;[35]" c="35"/>
              <i n="[calendario].[Numero da Semana].&amp;[36]" c="36"/>
              <i n="[calendario].[Numero da Semana].&amp;[37]" c="37"/>
              <i n="[calendario].[Numero da Semana].&amp;[38]" c="38"/>
              <i n="[calendario].[Numero da Semana].&amp;[39]" c="39"/>
              <i n="[calendario].[Numero da Semana].&amp;[40]" c="40"/>
              <i n="[calendario].[Numero da Semana].&amp;[41]" c="41"/>
              <i n="[calendario].[Numero da Semana].&amp;[42]" c="42"/>
              <i n="[calendario].[Numero da Semana].&amp;[43]" c="43"/>
              <i n="[calendario].[Numero da Semana].&amp;[44]" c="44"/>
              <i n="[calendario].[Numero da Semana].&amp;[45]" c="45"/>
              <i n="[calendario].[Numero da Semana].&amp;[46]" c="46"/>
              <i n="[calendario].[Numero da Semana].&amp;[47]" c="47"/>
              <i n="[calendario].[Numero da Semana].&amp;[48]" c="48"/>
              <i n="[calendario].[Numero da Semana].&amp;[49]" c="49"/>
              <i n="[calendario].[Numero da Semana].&amp;[50]" c="50" nd="1"/>
              <i n="[calendario].[Numero da Semana].&amp;[51]" c="51" nd="1"/>
              <i n="[calendario].[Numero da Semana].&amp;[52]" c="52" nd="1"/>
              <i n="[calendario].[Numero da Semana].&amp;[53]" c="53" nd="1"/>
            </range>
          </ranges>
        </level>
      </levels>
      <selections count="47">
        <selection n="[calendario].[Numero da Semana].&amp;[1]"/>
        <selection n="[calendario].[Numero da Semana].&amp;[10]"/>
        <selection n="[calendario].[Numero da Semana].&amp;[11]"/>
        <selection n="[calendario].[Numero da Semana].&amp;[12]"/>
        <selection n="[calendario].[Numero da Semana].&amp;[13]"/>
        <selection n="[calendario].[Numero da Semana].&amp;[14]"/>
        <selection n="[calendario].[Numero da Semana].&amp;[15]"/>
        <selection n="[calendario].[Numero da Semana].&amp;[16]"/>
        <selection n="[calendario].[Numero da Semana].&amp;[17]"/>
        <selection n="[calendario].[Numero da Semana].&amp;[18]"/>
        <selection n="[calendario].[Numero da Semana].&amp;[19]"/>
        <selection n="[calendario].[Numero da Semana].&amp;[2]"/>
        <selection n="[calendario].[Numero da Semana].&amp;[20]"/>
        <selection n="[calendario].[Numero da Semana].&amp;[21]"/>
        <selection n="[calendario].[Numero da Semana].&amp;[22]"/>
        <selection n="[calendario].[Numero da Semana].&amp;[23]"/>
        <selection n="[calendario].[Numero da Semana].&amp;[24]"/>
        <selection n="[calendario].[Numero da Semana].&amp;[25]"/>
        <selection n="[calendario].[Numero da Semana].&amp;[26]"/>
        <selection n="[calendario].[Numero da Semana].&amp;[27]"/>
        <selection n="[calendario].[Numero da Semana].&amp;[28]"/>
        <selection n="[calendario].[Numero da Semana].&amp;[29]"/>
        <selection n="[calendario].[Numero da Semana].&amp;[3]"/>
        <selection n="[calendario].[Numero da Semana].&amp;[30]"/>
        <selection n="[calendario].[Numero da Semana].&amp;[31]"/>
        <selection n="[calendario].[Numero da Semana].&amp;[32]"/>
        <selection n="[calendario].[Numero da Semana].&amp;[33]"/>
        <selection n="[calendario].[Numero da Semana].&amp;[34]"/>
        <selection n="[calendario].[Numero da Semana].&amp;[35]"/>
        <selection n="[calendario].[Numero da Semana].&amp;[36]"/>
        <selection n="[calendario].[Numero da Semana].&amp;[37]"/>
        <selection n="[calendario].[Numero da Semana].&amp;[38]"/>
        <selection n="[calendario].[Numero da Semana].&amp;[39]"/>
        <selection n="[calendario].[Numero da Semana].&amp;[4]"/>
        <selection n="[calendario].[Numero da Semana].&amp;[40]"/>
        <selection n="[calendario].[Numero da Semana].&amp;[41]"/>
        <selection n="[calendario].[Numero da Semana].&amp;[42]"/>
        <selection n="[calendario].[Numero da Semana].&amp;[43]"/>
        <selection n="[calendario].[Numero da Semana].&amp;[44]"/>
        <selection n="[calendario].[Numero da Semana].&amp;[45]"/>
        <selection n="[calendario].[Numero da Semana].&amp;[46]"/>
        <selection n="[calendario].[Numero da Semana].&amp;[47]"/>
        <selection n="[calendario].[Numero da Semana].&amp;[5]"/>
        <selection n="[calendario].[Numero da Semana].&amp;[6]"/>
        <selection n="[calendario].[Numero da Semana].&amp;[7]"/>
        <selection n="[calendario].[Numero da Semana].&amp;[8]"/>
        <selection n="[calendario].[Numero da Semana].&amp;[9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lendario].[Numero da Semana].[Numero da Semana]" count="4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. Semana 1" xr10:uid="{02F311B5-A3E2-431E-BF4E-389D80AFA461}" cache="SegmentaçãoDeDados_Numero_da_Semana" caption="N. Semana" columnCount="3" showCaption="0" level="1" rowHeight="257175"/>
  <slicer name="Mês 1" xr10:uid="{DB3A5103-29DC-44BD-85FB-B92C41C28B1A}" cache="SegmentaçãoDeDados_Mês" caption="Mês" showCaption="0" level="1" rowHeight="193675"/>
  <slicer name="Ano 1" xr10:uid="{6CECEAF8-4FDA-465A-97A2-F4EEF5C951D0}" cache="SegmentaçãoDeDados_Ano" caption="Ano" showCaption="0" level="1" rowHeight="1936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umero da Semana" xr10:uid="{B4A53B74-41BF-4768-83CA-F51134B23E3D}" cache="SegmentaçãoDeDados_Numero_da_Semana1" caption="Numero da Semana" columnCount="2" level="1" rowHeight="1841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. Semana" xr10:uid="{2FEEEE8A-1801-4A11-96C5-301ABA2E20D1}" cache="SegmentaçãoDeDados_Numero_da_Semana" caption="N. Semana" startItem="42" level="1" rowHeight="257175"/>
  <slicer name="Mês" xr10:uid="{3DB1F389-37AE-4266-A4FB-B367BABEF24C}" cache="SegmentaçãoDeDados_Mês" caption="Mês" level="1" rowHeight="193675"/>
  <slicer name="Ano" xr10:uid="{E13B4E7F-EE4F-4CC6-9241-DDAC73674466}" cache="SegmentaçãoDeDados_Ano" caption="Ano" level="1" rowHeight="1936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DE964-BDA7-4B43-B3F1-2847C96B9AA6}" name="Tabela1" displayName="Tabela1" ref="B2:E11" totalsRowCount="1" headerRowDxfId="18" dataDxfId="17" totalsRowDxfId="16">
  <autoFilter ref="B2:E10" xr:uid="{F7EDE964-BDA7-4B43-B3F1-2847C96B9AA6}"/>
  <tableColumns count="4">
    <tableColumn id="1" xr3:uid="{31055EDB-B897-4BB4-B6FB-41F456D343A6}" name="Jogo" totalsRowLabel="Total" dataDxfId="15" totalsRowDxfId="14"/>
    <tableColumn id="2" xr3:uid="{E4F545B3-460B-469E-A108-0E6A7C992BCF}" name="Vendas" totalsRowFunction="sum" dataDxfId="13" totalsRowDxfId="12"/>
    <tableColumn id="3" xr3:uid="{1F285FEF-4EDA-4445-A3DC-E92F9C7A93B6}" name="Comissões" totalsRowFunction="average" dataDxfId="11" totalsRowDxfId="10"/>
    <tableColumn id="4" xr3:uid="{A4B3ACCE-4CAB-40EB-BB66-F3DB28F63B5A}" name="Total Apurado" totalsRowFunction="sum" dataDxfId="9" totalsRow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  <wetp:taskpane dockstate="right" visibility="0" width="438" row="7">
    <wetp:webextensionref xmlns:r="http://schemas.openxmlformats.org/officeDocument/2006/relationships" r:id="rId4"/>
  </wetp:taskpane>
  <wetp:taskpane dockstate="right" visibility="0" width="438" row="3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BE35278C-2B14-4DED-B665-C543FDD16F3D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8E79B13-D01E-4012-92BC-37E9D7FDC968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gvW6bNzl0a5CG3g7MjT8j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06C0CDD-1583-4D75-9430-FAB446CFD3BF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15172219-181C-42C5-BBB8-364E90E0D2D6}">
  <we:reference id="wa104381587" version="1.1.0.0" store="pt-PT" storeType="OMEX"/>
  <we:alternateReferences>
    <we:reference id="WA104381587" version="1.1.0.0" store="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8704909D-8F61-4C17-8A73-5C32D31C91C2}">
  <we:reference id="wa200009404" version="1.0.0.4" store="en-US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microsoft.com/office/2007/relationships/slicer" Target="../slicers/slicer3.xml"/><Relationship Id="rId5" Type="http://schemas.openxmlformats.org/officeDocument/2006/relationships/pivotTable" Target="../pivotTables/pivotTable7.xml"/><Relationship Id="rId10" Type="http://schemas.openxmlformats.org/officeDocument/2006/relationships/drawing" Target="../drawings/drawing5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E8F1-BDE5-472B-8BFE-A8595730F8D1}">
  <sheetPr>
    <tabColor theme="4" tint="0.39997558519241921"/>
  </sheetPr>
  <dimension ref="A2:X36"/>
  <sheetViews>
    <sheetView showGridLines="0" tabSelected="1" zoomScaleNormal="100" workbookViewId="0">
      <selection activeCell="Q14" sqref="Q14"/>
    </sheetView>
  </sheetViews>
  <sheetFormatPr defaultRowHeight="14.4" x14ac:dyDescent="0.3"/>
  <cols>
    <col min="1" max="1" width="10.33203125" customWidth="1"/>
    <col min="2" max="2" width="5.109375" customWidth="1"/>
    <col min="3" max="3" width="11.44140625" customWidth="1"/>
    <col min="4" max="5" width="5.109375" customWidth="1"/>
    <col min="6" max="6" width="11.44140625" customWidth="1"/>
    <col min="7" max="7" width="7.88671875" customWidth="1"/>
    <col min="8" max="11" width="5.109375" customWidth="1"/>
    <col min="12" max="12" width="11.44140625" customWidth="1"/>
    <col min="13" max="14" width="5.109375" customWidth="1"/>
    <col min="15" max="15" width="12.6640625" bestFit="1" customWidth="1"/>
    <col min="16" max="16" width="5.109375" customWidth="1"/>
  </cols>
  <sheetData>
    <row r="2" spans="1:21" ht="16.8" x14ac:dyDescent="0.4">
      <c r="B2" s="99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</row>
    <row r="4" spans="1:21" x14ac:dyDescent="0.3">
      <c r="B4" s="101" t="s">
        <v>1</v>
      </c>
      <c r="C4" s="102"/>
      <c r="D4" s="103"/>
      <c r="E4" s="101" t="s">
        <v>2</v>
      </c>
      <c r="F4" s="102"/>
      <c r="G4" s="103"/>
      <c r="H4" s="101" t="s">
        <v>3</v>
      </c>
      <c r="I4" s="102"/>
      <c r="J4" s="103"/>
      <c r="K4" s="101" t="s">
        <v>4</v>
      </c>
      <c r="L4" s="102"/>
      <c r="M4" s="103"/>
      <c r="N4" s="101" t="str">
        <f>esboço!F2</f>
        <v>Prestação</v>
      </c>
      <c r="O4" s="102"/>
      <c r="P4" s="103"/>
    </row>
    <row r="5" spans="1:21" ht="19.8" x14ac:dyDescent="0.3">
      <c r="A5" s="51" t="s">
        <v>5</v>
      </c>
      <c r="B5" s="20"/>
      <c r="C5" s="63">
        <f>esboço!B4</f>
        <v>5571.5</v>
      </c>
      <c r="D5" s="21">
        <f>IFERROR(C5/C6-1,"")</f>
        <v>0.34172185430463586</v>
      </c>
      <c r="E5" s="20"/>
      <c r="F5" s="63">
        <f>esboço!C4</f>
        <v>4592.7</v>
      </c>
      <c r="G5" s="21" t="str">
        <f>IFERROR(F5/F6-1,"")</f>
        <v/>
      </c>
      <c r="H5" s="115">
        <f>esboço!D4</f>
        <v>0.21312082217432016</v>
      </c>
      <c r="I5" s="116"/>
      <c r="J5" s="117"/>
      <c r="K5" s="20"/>
      <c r="L5" s="63">
        <f>esboço!E4</f>
        <v>978.80000000000018</v>
      </c>
      <c r="M5" s="21" t="str">
        <f>IFERROR(L5/L6-1,"")</f>
        <v/>
      </c>
      <c r="N5" s="89"/>
      <c r="O5" s="63">
        <f>esboço!F4</f>
        <v>3022.99</v>
      </c>
      <c r="P5" s="90">
        <f>IFERROR(O5/O6-1,"")</f>
        <v>0.53577561243255856</v>
      </c>
    </row>
    <row r="6" spans="1:21" x14ac:dyDescent="0.3">
      <c r="A6" s="52" t="s">
        <v>6</v>
      </c>
      <c r="B6" s="15"/>
      <c r="C6" s="64">
        <f>esboço!B5</f>
        <v>4152.5</v>
      </c>
      <c r="D6" s="30">
        <f>D5</f>
        <v>0.34172185430463586</v>
      </c>
      <c r="E6" s="15"/>
      <c r="F6" s="19"/>
      <c r="G6" s="16"/>
      <c r="H6" s="24"/>
      <c r="I6" s="25"/>
      <c r="J6" s="26"/>
      <c r="K6" s="15"/>
      <c r="L6" s="64"/>
      <c r="M6" s="30" t="str">
        <f>M5</f>
        <v/>
      </c>
      <c r="N6" s="91"/>
      <c r="O6" s="64">
        <f>esboço!F5</f>
        <v>1968.38</v>
      </c>
      <c r="P6" s="30">
        <f>P5</f>
        <v>0.53577561243255856</v>
      </c>
    </row>
    <row r="7" spans="1:21" ht="15.75" customHeight="1" x14ac:dyDescent="0.3">
      <c r="A7" s="51" t="s">
        <v>7</v>
      </c>
      <c r="B7" s="104"/>
      <c r="C7" s="105"/>
      <c r="D7" s="106"/>
      <c r="E7" s="104"/>
      <c r="F7" s="105"/>
      <c r="G7" s="106"/>
      <c r="H7" s="107"/>
      <c r="I7" s="108"/>
      <c r="J7" s="109"/>
      <c r="K7" s="104"/>
      <c r="L7" s="105"/>
      <c r="M7" s="106"/>
      <c r="N7" s="112"/>
      <c r="O7" s="113"/>
      <c r="P7" s="114"/>
    </row>
    <row r="8" spans="1:21" ht="15.75" customHeight="1" x14ac:dyDescent="0.3">
      <c r="A8" s="51" t="s">
        <v>56</v>
      </c>
      <c r="B8" s="61">
        <f>D8</f>
        <v>1.6882642818032423E-2</v>
      </c>
      <c r="C8" s="67">
        <f>esboço!B9</f>
        <v>5479</v>
      </c>
      <c r="D8" s="62">
        <f>IFERROR(C5/C8-1,"")</f>
        <v>1.6882642818032423E-2</v>
      </c>
      <c r="E8" s="54"/>
      <c r="F8" s="54"/>
      <c r="G8" s="55"/>
      <c r="H8" s="56"/>
      <c r="I8" s="57"/>
      <c r="J8" s="58"/>
      <c r="K8" s="53"/>
      <c r="L8" s="54"/>
      <c r="M8" s="55"/>
      <c r="N8" s="61">
        <f>P8</f>
        <v>0.16054145983776169</v>
      </c>
      <c r="O8" s="67">
        <f>GETPIVOTDATA("[Measures].[PrestaçãoLYSWTD]",calc!$K$24)</f>
        <v>2604.81</v>
      </c>
      <c r="P8" s="92">
        <f>IFERROR(O5/O8-1,"")</f>
        <v>0.16054145983776169</v>
      </c>
    </row>
    <row r="9" spans="1:21" ht="16.8" x14ac:dyDescent="0.3">
      <c r="A9" s="51" t="s">
        <v>8</v>
      </c>
      <c r="B9" s="59"/>
      <c r="C9" s="68">
        <f>esboço!B6</f>
        <v>5571.5</v>
      </c>
      <c r="D9" s="60"/>
      <c r="E9" s="22"/>
      <c r="F9" s="72">
        <f>esboço!C6</f>
        <v>4592.7</v>
      </c>
      <c r="G9" s="23"/>
      <c r="H9" s="118">
        <f>esboço!D6</f>
        <v>0.21312082217432016</v>
      </c>
      <c r="I9" s="119"/>
      <c r="J9" s="120"/>
      <c r="K9" s="22"/>
      <c r="L9" s="72">
        <f>esboço!E6</f>
        <v>978.80000000000018</v>
      </c>
      <c r="M9" s="23"/>
      <c r="N9" s="93"/>
      <c r="O9" s="72">
        <f>esboço!F6</f>
        <v>3022.99</v>
      </c>
      <c r="P9" s="94"/>
    </row>
    <row r="10" spans="1:21" ht="19.2" x14ac:dyDescent="0.3">
      <c r="A10" s="51" t="s">
        <v>9</v>
      </c>
      <c r="B10" s="75"/>
      <c r="C10" s="76">
        <f>esboço!B7</f>
        <v>195397</v>
      </c>
      <c r="D10" s="77">
        <f>IFERROR(C10/C11-1,"")</f>
        <v>-7.653881054104128E-2</v>
      </c>
      <c r="E10" s="75"/>
      <c r="F10" s="76">
        <f>esboço!C7</f>
        <v>225042.30000000019</v>
      </c>
      <c r="G10" s="78"/>
      <c r="H10" s="124">
        <f>esboço!D7</f>
        <v>-0.131732123249718</v>
      </c>
      <c r="I10" s="125"/>
      <c r="J10" s="126"/>
      <c r="K10" s="75"/>
      <c r="L10" s="76">
        <f>esboço!E7</f>
        <v>-29645.300000000017</v>
      </c>
      <c r="M10" s="78"/>
      <c r="N10" s="75"/>
      <c r="O10" s="76">
        <f>esboço!F7</f>
        <v>83585.819999999992</v>
      </c>
      <c r="P10" s="77">
        <f>IFERROR(O10/O11-1,"")</f>
        <v>-4.1774045921942227E-2</v>
      </c>
    </row>
    <row r="11" spans="1:21" ht="19.8" x14ac:dyDescent="0.3">
      <c r="A11" s="51" t="s">
        <v>10</v>
      </c>
      <c r="B11" s="17"/>
      <c r="C11" s="69">
        <f>esboço!B8</f>
        <v>211592</v>
      </c>
      <c r="D11" s="74">
        <f>D10</f>
        <v>-7.653881054104128E-2</v>
      </c>
      <c r="E11" s="17"/>
      <c r="F11" s="69">
        <f>esboço!E8</f>
        <v>0</v>
      </c>
      <c r="G11" s="18"/>
      <c r="H11" s="27"/>
      <c r="I11" s="28"/>
      <c r="J11" s="29"/>
      <c r="K11" s="17"/>
      <c r="L11" s="69">
        <f>esboço!E8</f>
        <v>0</v>
      </c>
      <c r="M11" s="18"/>
      <c r="N11" s="17"/>
      <c r="O11" s="69">
        <f>GETPIVOTDATA("[Measures].[PrestaçãoLYTD]",calc!$K$24)</f>
        <v>87229.759999999995</v>
      </c>
      <c r="P11" s="74">
        <f>P10</f>
        <v>-4.1774045921942227E-2</v>
      </c>
    </row>
    <row r="12" spans="1:21" x14ac:dyDescent="0.3">
      <c r="A12" s="14"/>
    </row>
    <row r="13" spans="1:21" x14ac:dyDescent="0.3">
      <c r="A13" s="31" t="s">
        <v>11</v>
      </c>
      <c r="B13" s="110" t="s">
        <v>1</v>
      </c>
      <c r="C13" s="111"/>
      <c r="D13" s="111"/>
      <c r="E13" s="111" t="s">
        <v>2</v>
      </c>
      <c r="F13" s="111"/>
      <c r="G13" s="111"/>
      <c r="H13" s="111" t="s">
        <v>3</v>
      </c>
      <c r="I13" s="111"/>
      <c r="J13" s="111"/>
      <c r="K13" s="111" t="s">
        <v>4</v>
      </c>
      <c r="L13" s="111"/>
      <c r="M13" s="121"/>
      <c r="N13" s="47"/>
      <c r="O13" s="47"/>
      <c r="P13" s="47"/>
    </row>
    <row r="14" spans="1:21" ht="15" x14ac:dyDescent="0.3">
      <c r="A14" s="51" t="str">
        <f>esboço!I4</f>
        <v>Raspadinha</v>
      </c>
      <c r="B14" s="32"/>
      <c r="C14" s="65">
        <f>IFERROR(esboço!J4,"")</f>
        <v>3440</v>
      </c>
      <c r="D14" s="82"/>
      <c r="E14" s="82"/>
      <c r="F14" s="65">
        <f>IFERROR(esboço!K4,"")</f>
        <v>2627.7</v>
      </c>
      <c r="H14" s="100">
        <f>IFERROR(esboço!L4,"")</f>
        <v>0.30912965711458701</v>
      </c>
      <c r="I14" s="100">
        <f>esboço!L4</f>
        <v>0.30912965711458701</v>
      </c>
      <c r="J14" s="100"/>
      <c r="L14" s="65">
        <f>IFERROR(esboço!M4,"")</f>
        <v>812.30000000000018</v>
      </c>
      <c r="M14" s="34"/>
    </row>
    <row r="15" spans="1:21" ht="15" x14ac:dyDescent="0.3">
      <c r="A15" s="51" t="str">
        <f>esboço!I5</f>
        <v>Euromilhões</v>
      </c>
      <c r="B15" s="32"/>
      <c r="C15" s="65">
        <f>IFERROR(esboço!J5,"")</f>
        <v>955</v>
      </c>
      <c r="D15" s="82"/>
      <c r="E15" s="82"/>
      <c r="F15" s="65">
        <f>IFERROR(esboço!K5,"")</f>
        <v>894.25</v>
      </c>
      <c r="H15" s="100">
        <f>IFERROR(esboço!L5,"")</f>
        <v>6.7934022924238183E-2</v>
      </c>
      <c r="I15" s="100">
        <f>esboço!L5</f>
        <v>6.7934022924238183E-2</v>
      </c>
      <c r="J15" s="100"/>
      <c r="L15" s="65">
        <f>IFERROR(esboço!M5,"")</f>
        <v>60.75</v>
      </c>
      <c r="M15" s="34"/>
      <c r="O15" s="82"/>
    </row>
    <row r="16" spans="1:21" ht="15" x14ac:dyDescent="0.3">
      <c r="A16" s="51" t="str">
        <f>esboço!I6</f>
        <v>Placard</v>
      </c>
      <c r="B16" s="32"/>
      <c r="C16" s="65">
        <f>IFERROR(esboço!J6,"")</f>
        <v>191</v>
      </c>
      <c r="D16" s="82"/>
      <c r="E16" s="82"/>
      <c r="F16" s="65">
        <f>IFERROR(esboço!K6,"")</f>
        <v>433.55</v>
      </c>
      <c r="H16" s="100">
        <f>IFERROR(esboço!L6,"")</f>
        <v>-0.55945104370891474</v>
      </c>
      <c r="I16" s="100">
        <f>esboço!L6</f>
        <v>-0.55945104370891474</v>
      </c>
      <c r="J16" s="100"/>
      <c r="L16" s="65">
        <f>IFERROR(esboço!M6,"")</f>
        <v>-242.55</v>
      </c>
      <c r="M16" s="34"/>
    </row>
    <row r="17" spans="1:16" ht="15" x14ac:dyDescent="0.3">
      <c r="A17" s="51" t="str">
        <f>esboço!I7</f>
        <v>Eurodreams</v>
      </c>
      <c r="B17" s="32"/>
      <c r="C17" s="65">
        <f>IFERROR(esboço!J7,"")</f>
        <v>220</v>
      </c>
      <c r="D17" s="82"/>
      <c r="E17" s="82"/>
      <c r="F17" s="65">
        <f>IFERROR(esboço!K7,"")</f>
        <v>301.64999999999998</v>
      </c>
      <c r="H17" s="100">
        <f>IFERROR(esboço!L7,"")</f>
        <v>-0.27067793800762469</v>
      </c>
      <c r="I17" s="100">
        <f>esboço!L7</f>
        <v>-0.27067793800762469</v>
      </c>
      <c r="J17" s="100"/>
      <c r="L17" s="65">
        <f>IFERROR(esboço!M7,"")</f>
        <v>-81.649999999999977</v>
      </c>
      <c r="M17" s="34"/>
    </row>
    <row r="18" spans="1:16" ht="15" x14ac:dyDescent="0.3">
      <c r="A18" s="51" t="str">
        <f>esboço!I8</f>
        <v>Totoloto</v>
      </c>
      <c r="B18" s="32"/>
      <c r="C18" s="65">
        <f>IFERROR(esboço!J8,"")</f>
        <v>130</v>
      </c>
      <c r="D18" s="82"/>
      <c r="E18" s="82"/>
      <c r="F18" s="65">
        <f>IFERROR(esboço!K8,"")</f>
        <v>153</v>
      </c>
      <c r="H18" s="100">
        <f>IFERROR(esboço!L8,"")</f>
        <v>-0.15032679738562091</v>
      </c>
      <c r="I18" s="100">
        <f>esboço!L8</f>
        <v>-0.15032679738562091</v>
      </c>
      <c r="J18" s="100"/>
      <c r="L18" s="65">
        <f>IFERROR(esboço!M8,"")</f>
        <v>-23</v>
      </c>
      <c r="M18" s="34"/>
    </row>
    <row r="19" spans="1:16" ht="15" x14ac:dyDescent="0.3">
      <c r="A19" s="51" t="s">
        <v>12</v>
      </c>
      <c r="B19" s="32"/>
      <c r="C19" s="65" t="str">
        <f>IFERROR(esboço!J12,"")</f>
        <v/>
      </c>
      <c r="D19" s="82"/>
      <c r="E19" s="82"/>
      <c r="F19" s="65" t="str">
        <f>IFERROR(esboço!K12,"")</f>
        <v/>
      </c>
      <c r="H19" s="33"/>
      <c r="I19" s="33" t="str">
        <f>IFERROR(esboço!L12,"")</f>
        <v/>
      </c>
      <c r="J19" s="33"/>
      <c r="L19" s="65" t="str">
        <f>IFERROR(esboço!M12,"")</f>
        <v/>
      </c>
      <c r="M19" s="34"/>
    </row>
    <row r="20" spans="1:16" ht="15" x14ac:dyDescent="0.3">
      <c r="A20" s="51" t="str">
        <f>esboço!I9</f>
        <v>Popular</v>
      </c>
      <c r="B20" s="32"/>
      <c r="C20" s="65">
        <f>IFERROR(esboço!J9,"")</f>
        <v>85</v>
      </c>
      <c r="D20" s="82"/>
      <c r="E20" s="82"/>
      <c r="F20" s="65">
        <f>IFERROR(esboço!K9,"")</f>
        <v>107.4</v>
      </c>
      <c r="H20" s="100">
        <f>IFERROR(esboço!L9,"")</f>
        <v>-0.20856610800744882</v>
      </c>
      <c r="I20" s="100">
        <f>esboço!L9</f>
        <v>-0.20856610800744882</v>
      </c>
      <c r="J20" s="100"/>
      <c r="L20" s="65">
        <f>IFERROR(esboço!M9,"")</f>
        <v>-22.400000000000006</v>
      </c>
      <c r="M20" s="34"/>
    </row>
    <row r="21" spans="1:16" ht="15" x14ac:dyDescent="0.3">
      <c r="A21" s="51" t="str">
        <f>esboço!I10</f>
        <v>Clássica</v>
      </c>
      <c r="B21" s="32"/>
      <c r="C21" s="65">
        <f>IFERROR(esboço!J10,"")</f>
        <v>525</v>
      </c>
      <c r="D21" s="82"/>
      <c r="E21" s="82"/>
      <c r="F21" s="65">
        <f>IFERROR(esboço!K10,"")</f>
        <v>72.150000000000006</v>
      </c>
      <c r="H21" s="100">
        <f>IFERROR(esboço!L10,"")</f>
        <v>6.2765072765072762</v>
      </c>
      <c r="I21" s="100">
        <f>esboço!L10</f>
        <v>6.2765072765072762</v>
      </c>
      <c r="J21" s="100"/>
      <c r="L21" s="65">
        <f>IFERROR(esboço!M10,"")</f>
        <v>452.85</v>
      </c>
      <c r="M21" s="34"/>
    </row>
    <row r="22" spans="1:16" ht="15" x14ac:dyDescent="0.3">
      <c r="A22" s="51" t="str">
        <f>esboço!I11</f>
        <v>Totobola</v>
      </c>
      <c r="B22" s="35"/>
      <c r="C22" s="66">
        <f>IFERROR(esboço!J11,"")</f>
        <v>25.5</v>
      </c>
      <c r="D22" s="83"/>
      <c r="E22" s="83"/>
      <c r="F22" s="66">
        <f>IFERROR(esboço!K11,"")</f>
        <v>3</v>
      </c>
      <c r="G22" s="36"/>
      <c r="H22" s="123">
        <f>IFERROR(esboço!L11,"")</f>
        <v>7.5</v>
      </c>
      <c r="I22" s="123">
        <f>esboço!L11</f>
        <v>7.5</v>
      </c>
      <c r="J22" s="123"/>
      <c r="K22" s="36"/>
      <c r="L22" s="66">
        <f>IFERROR(esboço!M11,"")</f>
        <v>22.5</v>
      </c>
      <c r="M22" s="37"/>
    </row>
    <row r="24" spans="1:16" x14ac:dyDescent="0.3">
      <c r="A24" s="31" t="s">
        <v>13</v>
      </c>
      <c r="B24" s="96" t="s">
        <v>1</v>
      </c>
      <c r="C24" s="97"/>
      <c r="D24" s="97"/>
      <c r="E24" s="97" t="s">
        <v>2</v>
      </c>
      <c r="F24" s="97"/>
      <c r="G24" s="97"/>
      <c r="H24" s="97" t="s">
        <v>3</v>
      </c>
      <c r="I24" s="97"/>
      <c r="J24" s="97"/>
      <c r="K24" s="97" t="s">
        <v>4</v>
      </c>
      <c r="L24" s="97"/>
      <c r="M24" s="122"/>
      <c r="N24" s="96" t="s">
        <v>59</v>
      </c>
      <c r="O24" s="97"/>
      <c r="P24" s="98"/>
    </row>
    <row r="25" spans="1:16" ht="15" x14ac:dyDescent="0.3">
      <c r="A25" s="51" t="str">
        <f>esboço!I4</f>
        <v>Raspadinha</v>
      </c>
      <c r="B25" s="38"/>
      <c r="C25" s="65">
        <f>esboço!P4</f>
        <v>113350</v>
      </c>
      <c r="D25" s="70"/>
      <c r="E25" s="70"/>
      <c r="F25" s="65">
        <f>esboço!Q4</f>
        <v>128757.2999999999</v>
      </c>
      <c r="I25" s="33">
        <f>esboço!R4</f>
        <v>-0.11966156482001342</v>
      </c>
      <c r="L25" s="65">
        <f>esboço!S4</f>
        <v>-15407.299999999901</v>
      </c>
      <c r="M25" s="39"/>
      <c r="N25" s="38"/>
      <c r="O25" s="65">
        <f>esboço!T4</f>
        <v>11335</v>
      </c>
      <c r="P25" s="79"/>
    </row>
    <row r="26" spans="1:16" ht="15" x14ac:dyDescent="0.3">
      <c r="A26" s="51" t="str">
        <f>esboço!I5</f>
        <v>Euromilhões</v>
      </c>
      <c r="B26" s="38"/>
      <c r="C26" s="65">
        <f>esboço!P5</f>
        <v>42000</v>
      </c>
      <c r="D26" s="70"/>
      <c r="E26" s="70"/>
      <c r="F26" s="65">
        <f>esboço!Q5</f>
        <v>43818.25</v>
      </c>
      <c r="I26" s="33">
        <f>esboço!R5</f>
        <v>-4.14952673828827E-2</v>
      </c>
      <c r="L26" s="65">
        <f>esboço!S5</f>
        <v>-1818.25</v>
      </c>
      <c r="M26" s="39"/>
      <c r="N26" s="38"/>
      <c r="O26" s="65">
        <f>esboço!T5</f>
        <v>2100</v>
      </c>
      <c r="P26" s="79"/>
    </row>
    <row r="27" spans="1:16" ht="15" x14ac:dyDescent="0.3">
      <c r="A27" s="51" t="str">
        <f>esboço!I6</f>
        <v>Placard</v>
      </c>
      <c r="B27" s="38"/>
      <c r="C27" s="65">
        <f>esboço!P6</f>
        <v>17525</v>
      </c>
      <c r="D27" s="70"/>
      <c r="E27" s="70"/>
      <c r="F27" s="65">
        <f>esboço!Q6</f>
        <v>21243.949999999983</v>
      </c>
      <c r="I27" s="33">
        <f>esboço!R6</f>
        <v>-0.17505925216355647</v>
      </c>
      <c r="L27" s="65">
        <f>esboço!S6</f>
        <v>-3718.9499999999825</v>
      </c>
      <c r="M27" s="39"/>
      <c r="N27" s="38"/>
      <c r="O27" s="65">
        <f>esboço!T6</f>
        <v>876.25</v>
      </c>
      <c r="P27" s="79"/>
    </row>
    <row r="28" spans="1:16" ht="15" x14ac:dyDescent="0.3">
      <c r="A28" s="51" t="str">
        <f>esboço!I7</f>
        <v>Eurodreams</v>
      </c>
      <c r="B28" s="38"/>
      <c r="C28" s="65">
        <f>esboço!P7</f>
        <v>9587.5</v>
      </c>
      <c r="D28" s="70"/>
      <c r="E28" s="70"/>
      <c r="F28" s="65">
        <f>esboço!Q7</f>
        <v>14780.849999999988</v>
      </c>
      <c r="I28" s="33">
        <f>esboço!R7</f>
        <v>-0.35135665404898853</v>
      </c>
      <c r="L28" s="65">
        <f>esboço!S7</f>
        <v>-5193.3499999999876</v>
      </c>
      <c r="M28" s="39"/>
      <c r="N28" s="38"/>
      <c r="O28" s="65">
        <f>esboço!T7</f>
        <v>479.375</v>
      </c>
      <c r="P28" s="79"/>
    </row>
    <row r="29" spans="1:16" ht="15" x14ac:dyDescent="0.3">
      <c r="A29" s="51" t="str">
        <f>esboço!I8</f>
        <v>Totoloto</v>
      </c>
      <c r="B29" s="38"/>
      <c r="C29" s="65">
        <f>esboço!P8</f>
        <v>5882</v>
      </c>
      <c r="D29" s="70"/>
      <c r="E29" s="70"/>
      <c r="F29" s="65">
        <f>esboço!Q8</f>
        <v>7497</v>
      </c>
      <c r="I29" s="33">
        <f>esboço!R8</f>
        <v>-0.21541950113378686</v>
      </c>
      <c r="L29" s="65">
        <f>esboço!S8</f>
        <v>-1615</v>
      </c>
      <c r="M29" s="39"/>
      <c r="N29" s="38"/>
      <c r="O29" s="65">
        <f>esboço!T8</f>
        <v>411.74</v>
      </c>
      <c r="P29" s="79"/>
    </row>
    <row r="30" spans="1:16" ht="15" x14ac:dyDescent="0.3">
      <c r="A30" s="51" t="s">
        <v>12</v>
      </c>
      <c r="B30" s="38"/>
      <c r="C30" s="65" t="str">
        <f>IFERROR(esboço!P12,"")</f>
        <v/>
      </c>
      <c r="D30" s="70"/>
      <c r="E30" s="70"/>
      <c r="F30" s="65" t="str">
        <f>IFERROR(esboço!Q12,"")</f>
        <v/>
      </c>
      <c r="H30" s="33"/>
      <c r="I30" s="33" t="str">
        <f>IFERROR(esboço!R12,"")</f>
        <v/>
      </c>
      <c r="J30" s="33"/>
      <c r="L30" s="65" t="str">
        <f>IFERROR(esboço!S12,"")</f>
        <v/>
      </c>
      <c r="M30" s="39"/>
      <c r="N30" s="38"/>
      <c r="O30" s="65"/>
      <c r="P30" s="79"/>
    </row>
    <row r="31" spans="1:16" ht="15" x14ac:dyDescent="0.3">
      <c r="A31" s="51" t="str">
        <f>esboço!I9</f>
        <v>Popular</v>
      </c>
      <c r="B31" s="38"/>
      <c r="C31" s="65">
        <f>esboço!P9</f>
        <v>4381</v>
      </c>
      <c r="D31" s="70"/>
      <c r="E31" s="70"/>
      <c r="F31" s="65">
        <f>esboço!Q9</f>
        <v>5262.5999999999985</v>
      </c>
      <c r="I31" s="33">
        <f>esboço!R9</f>
        <v>-0.16752175730627422</v>
      </c>
      <c r="L31" s="65">
        <f>esboço!S9</f>
        <v>-881.59999999999854</v>
      </c>
      <c r="M31" s="39"/>
      <c r="N31" s="38"/>
      <c r="O31" s="65">
        <f>esboço!T9</f>
        <v>547.625</v>
      </c>
      <c r="P31" s="79"/>
    </row>
    <row r="32" spans="1:16" ht="15" x14ac:dyDescent="0.3">
      <c r="A32" s="51" t="str">
        <f>esboço!I10</f>
        <v>Clássica</v>
      </c>
      <c r="B32" s="38"/>
      <c r="C32" s="65">
        <f>esboço!P10</f>
        <v>2255</v>
      </c>
      <c r="D32" s="70"/>
      <c r="E32" s="70"/>
      <c r="F32" s="65">
        <f>esboço!Q10</f>
        <v>3535.3500000000026</v>
      </c>
      <c r="I32" s="33">
        <f>esboço!R10</f>
        <v>-0.36215650501364832</v>
      </c>
      <c r="L32" s="65">
        <f>esboço!S10</f>
        <v>-1280.3500000000026</v>
      </c>
      <c r="M32" s="39"/>
      <c r="N32" s="38"/>
      <c r="O32" s="65">
        <f>esboço!T10</f>
        <v>286.38499999999999</v>
      </c>
      <c r="P32" s="79"/>
    </row>
    <row r="33" spans="1:24" ht="15" x14ac:dyDescent="0.3">
      <c r="A33" s="51" t="str">
        <f>esboço!I11</f>
        <v>Totobola</v>
      </c>
      <c r="B33" s="40"/>
      <c r="C33" s="73">
        <f>esboço!P11</f>
        <v>416.5</v>
      </c>
      <c r="D33" s="71"/>
      <c r="E33" s="71"/>
      <c r="F33" s="73">
        <f>esboço!Q11</f>
        <v>147</v>
      </c>
      <c r="G33" s="41"/>
      <c r="H33" s="41"/>
      <c r="I33" s="43">
        <f>esboço!R11</f>
        <v>1.8333333333333333</v>
      </c>
      <c r="J33" s="41"/>
      <c r="K33" s="41"/>
      <c r="L33" s="73">
        <f>esboço!S11</f>
        <v>269.5</v>
      </c>
      <c r="M33" s="42"/>
      <c r="N33" s="40"/>
      <c r="O33" s="73">
        <f>esboço!T11</f>
        <v>29.155000000000001</v>
      </c>
      <c r="P33" s="80"/>
    </row>
    <row r="34" spans="1:24" x14ac:dyDescent="0.3">
      <c r="O34" s="81"/>
    </row>
    <row r="36" spans="1:24" x14ac:dyDescent="0.3">
      <c r="X36">
        <f>S38</f>
        <v>0</v>
      </c>
    </row>
  </sheetData>
  <mergeCells count="31">
    <mergeCell ref="H5:J5"/>
    <mergeCell ref="H9:J9"/>
    <mergeCell ref="K13:M13"/>
    <mergeCell ref="B24:D24"/>
    <mergeCell ref="E24:G24"/>
    <mergeCell ref="H24:J24"/>
    <mergeCell ref="K24:M24"/>
    <mergeCell ref="H15:J15"/>
    <mergeCell ref="H16:J16"/>
    <mergeCell ref="H17:J17"/>
    <mergeCell ref="H18:J18"/>
    <mergeCell ref="H20:J20"/>
    <mergeCell ref="H21:J21"/>
    <mergeCell ref="H22:J22"/>
    <mergeCell ref="H10:J10"/>
    <mergeCell ref="N24:P24"/>
    <mergeCell ref="B2:U2"/>
    <mergeCell ref="H14:J14"/>
    <mergeCell ref="B4:D4"/>
    <mergeCell ref="B7:D7"/>
    <mergeCell ref="E4:G4"/>
    <mergeCell ref="E7:G7"/>
    <mergeCell ref="H4:J4"/>
    <mergeCell ref="H7:J7"/>
    <mergeCell ref="K4:M4"/>
    <mergeCell ref="K7:M7"/>
    <mergeCell ref="B13:D13"/>
    <mergeCell ref="E13:G13"/>
    <mergeCell ref="H13:J13"/>
    <mergeCell ref="N4:P4"/>
    <mergeCell ref="N7:P7"/>
  </mergeCells>
  <pageMargins left="0.25" right="0.25" top="0.75" bottom="0.75" header="0.3" footer="0.3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270E24B6-3D1A-4E8D-9610-C9A0762FF141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D5</xm:sqref>
        </x14:conditionalFormatting>
        <x14:conditionalFormatting xmlns:xm="http://schemas.microsoft.com/office/excel/2006/main">
          <x14:cfRule type="iconSet" priority="5" id="{DDA860AC-1D44-4C50-AF85-9B129D3C651D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D8</xm:sqref>
        </x14:conditionalFormatting>
        <x14:conditionalFormatting xmlns:xm="http://schemas.microsoft.com/office/excel/2006/main">
          <x14:cfRule type="iconSet" priority="7" id="{83F50D19-0AAE-4A84-8BB8-1DE115CB40E6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D10</xm:sqref>
        </x14:conditionalFormatting>
        <x14:conditionalFormatting xmlns:xm="http://schemas.microsoft.com/office/excel/2006/main">
          <x14:cfRule type="iconSet" priority="11" id="{7763C73F-6655-4C5F-8346-526BB08B4AF3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G5</xm:sqref>
        </x14:conditionalFormatting>
        <x14:conditionalFormatting xmlns:xm="http://schemas.microsoft.com/office/excel/2006/main">
          <x14:cfRule type="iconSet" priority="4" id="{868CD791-241A-42F5-8C88-4A06C3CD4178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M5</xm:sqref>
        </x14:conditionalFormatting>
        <x14:conditionalFormatting xmlns:xm="http://schemas.microsoft.com/office/excel/2006/main">
          <x14:cfRule type="iconSet" priority="8" id="{9DBD8DED-3890-4EBC-9749-8DA41F661090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P5</xm:sqref>
        </x14:conditionalFormatting>
        <x14:conditionalFormatting xmlns:xm="http://schemas.microsoft.com/office/excel/2006/main">
          <x14:cfRule type="iconSet" priority="2" id="{6FBF9DF4-946B-4C54-BFC6-FF2AE2C14F1A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P8</xm:sqref>
        </x14:conditionalFormatting>
        <x14:conditionalFormatting xmlns:xm="http://schemas.microsoft.com/office/excel/2006/main">
          <x14:cfRule type="iconSet" priority="1" id="{C3A793F1-628E-4279-BBB0-EE84BD35CF9C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P10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negative="1" rightToLeft="1" xr2:uid="{D0537199-C840-46C6-9360-C178C2286EE6}">
          <x14:colorSeries rgb="FF00B050"/>
          <x14:colorNegative rgb="FFC00000"/>
          <x14:colorAxis rgb="FF000000"/>
          <x14:colorMarkers rgb="FF0070C0"/>
          <x14:colorFirst rgb="FFFFC000"/>
          <x14:colorLast rgb="FFFFC000"/>
          <x14:colorHigh theme="9" tint="-0.249977111117893"/>
          <x14:colorLow rgb="FFC00000"/>
          <x14:sparklines>
            <x14:sparkline>
              <xm:f>sparkline!N4:N18</xm:f>
              <xm:sqref>K7</xm:sqref>
            </x14:sparkline>
            <x14:sparkline>
              <xm:f>sparkline!N5:N19</xm:f>
              <xm:sqref>K8</xm:sqref>
            </x14:sparkline>
          </x14:sparklines>
        </x14:sparklineGroup>
        <x14:sparklineGroup type="stacked" displayEmptyCellsAs="gap" high="1" low="1" negative="1" rightToLeft="1" xr2:uid="{356141C6-DD0C-4DEC-B654-2147788C983F}">
          <x14:colorSeries rgb="FF00B050"/>
          <x14:colorNegative rgb="FFC00000"/>
          <x14:colorAxis rgb="FF000000"/>
          <x14:colorMarkers rgb="FF0070C0"/>
          <x14:colorFirst rgb="FFFFC000"/>
          <x14:colorLast rgb="FFFFC000"/>
          <x14:colorHigh theme="9" tint="-0.249977111117893"/>
          <x14:colorLow rgb="FFC00000"/>
          <x14:sparklines>
            <x14:sparkline>
              <xm:f>sparkline!K4:K18</xm:f>
              <xm:sqref>H7</xm:sqref>
            </x14:sparkline>
            <x14:sparkline>
              <xm:f>sparkline!K5:K19</xm:f>
              <xm:sqref>H8</xm:sqref>
            </x14:sparkline>
          </x14:sparklines>
        </x14:sparklineGroup>
        <x14:sparklineGroup type="stacked" displayEmptyCellsAs="gap" high="1" low="1" negative="1" rightToLeft="1" xr2:uid="{17583BDB-DEAA-497B-9DE6-599B1BFF8BA8}">
          <x14:colorSeries rgb="FF00B050"/>
          <x14:colorNegative rgb="FFC00000"/>
          <x14:colorAxis rgb="FF000000"/>
          <x14:colorMarkers rgb="FF0070C0"/>
          <x14:colorFirst rgb="FFFFC000"/>
          <x14:colorLast rgb="FFFFC000"/>
          <x14:colorHigh theme="9" tint="-0.249977111117893"/>
          <x14:colorLow rgb="FFC00000"/>
          <x14:sparklines>
            <x14:sparkline>
              <xm:f>sparkline!H4:H18</xm:f>
              <xm:sqref>E7</xm:sqref>
            </x14:sparkline>
            <x14:sparkline>
              <xm:f>sparkline!H5:H19</xm:f>
              <xm:sqref>E8</xm:sqref>
            </x14:sparkline>
          </x14:sparklines>
        </x14:sparklineGroup>
        <x14:sparklineGroup type="stacked" displayEmptyCellsAs="gap" high="1" low="1" negative="1" rightToLeft="1" xr2:uid="{65AD7CA0-E974-48A0-85E7-FACAAC6CA944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sparkline!E4:E18</xm:f>
              <xm:sqref>B7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CEB5-6FBA-4C25-991F-B6D733383D56}">
  <sheetPr>
    <tabColor theme="8" tint="0.79998168889431442"/>
  </sheetPr>
  <dimension ref="A1:T12"/>
  <sheetViews>
    <sheetView showGridLines="0" topLeftCell="G1" workbookViewId="0">
      <selection activeCell="T11" sqref="T6:T11"/>
    </sheetView>
  </sheetViews>
  <sheetFormatPr defaultRowHeight="14.4" x14ac:dyDescent="0.3"/>
  <cols>
    <col min="1" max="1" width="16.6640625" customWidth="1"/>
    <col min="2" max="2" width="10.44140625" bestFit="1" customWidth="1"/>
    <col min="3" max="3" width="12" customWidth="1"/>
    <col min="4" max="4" width="11" style="10" customWidth="1"/>
    <col min="5" max="5" width="11.109375" bestFit="1" customWidth="1"/>
    <col min="6" max="6" width="10.33203125" bestFit="1" customWidth="1"/>
    <col min="9" max="9" width="20.44140625" bestFit="1" customWidth="1"/>
    <col min="10" max="10" width="10.109375" customWidth="1"/>
    <col min="11" max="11" width="10.33203125" bestFit="1" customWidth="1"/>
    <col min="14" max="14" width="12.88671875" customWidth="1"/>
    <col min="16" max="17" width="10.44140625" bestFit="1" customWidth="1"/>
    <col min="18" max="18" width="12.6640625" bestFit="1" customWidth="1"/>
    <col min="19" max="19" width="10.109375" bestFit="1" customWidth="1"/>
    <col min="20" max="20" width="10.33203125" bestFit="1" customWidth="1"/>
  </cols>
  <sheetData>
    <row r="1" spans="1:20" x14ac:dyDescent="0.3">
      <c r="J1" s="127" t="s">
        <v>14</v>
      </c>
      <c r="K1" s="127"/>
      <c r="L1" s="127"/>
      <c r="M1" s="127"/>
      <c r="P1" s="127" t="s">
        <v>15</v>
      </c>
      <c r="Q1" s="127"/>
      <c r="R1" s="127"/>
      <c r="S1" s="127"/>
    </row>
    <row r="2" spans="1:20" x14ac:dyDescent="0.3">
      <c r="B2" t="s">
        <v>1</v>
      </c>
      <c r="C2" t="s">
        <v>2</v>
      </c>
      <c r="D2" s="12" t="s">
        <v>16</v>
      </c>
      <c r="E2" s="12" t="s">
        <v>17</v>
      </c>
      <c r="F2" t="s">
        <v>50</v>
      </c>
      <c r="J2" t="s">
        <v>1</v>
      </c>
      <c r="K2" t="s">
        <v>2</v>
      </c>
      <c r="L2" t="s">
        <v>16</v>
      </c>
      <c r="M2" s="12" t="s">
        <v>17</v>
      </c>
      <c r="P2" t="s">
        <v>1</v>
      </c>
      <c r="Q2" t="s">
        <v>2</v>
      </c>
      <c r="R2" t="s">
        <v>16</v>
      </c>
      <c r="S2" s="12" t="s">
        <v>17</v>
      </c>
      <c r="T2" t="s">
        <v>60</v>
      </c>
    </row>
    <row r="3" spans="1:20" x14ac:dyDescent="0.3">
      <c r="A3" s="6" t="s">
        <v>18</v>
      </c>
      <c r="I3" s="6" t="s">
        <v>19</v>
      </c>
    </row>
    <row r="4" spans="1:20" x14ac:dyDescent="0.3">
      <c r="A4" t="s">
        <v>5</v>
      </c>
      <c r="B4" s="7">
        <f>GETPIVOTDATA("[Measures].[VendasWTD]",calc!$D$11)</f>
        <v>5571.5</v>
      </c>
      <c r="C4" s="7">
        <f>GETPIVOTDATA("[Measures].[ObjectivosWTD]",calc!$D$11)</f>
        <v>4592.7</v>
      </c>
      <c r="D4" s="11">
        <f>GETPIVOTDATA("[Measures].[Var%]",calc!$D$11)</f>
        <v>0.21312082217432016</v>
      </c>
      <c r="E4" s="7">
        <f>GETPIVOTDATA("[Measures].[VarEuros]",calc!$D$11)</f>
        <v>978.80000000000018</v>
      </c>
      <c r="F4" s="46">
        <f>GETPIVOTDATA("[Measures].[PrestacaoWTD]",calc!$K$24)</f>
        <v>3022.99</v>
      </c>
      <c r="I4" t="s">
        <v>20</v>
      </c>
      <c r="J4" s="7">
        <f>IFERROR(GETPIVOTDATA("[Measures].[TotalVendas]",calc!$D$24,"[jogos].[Grupo de Jogos]","[jogos].[Grupo de Jogos].&amp;[" &amp; I4 &amp;"]"),"")</f>
        <v>3440</v>
      </c>
      <c r="K4" s="7">
        <f>IFERROR(GETPIVOTDATA("[Measures].[TotalObjectivos]",calc!$D$24,"[jogos].[Grupo de Jogos]","[jogos].[Grupo de Jogos].&amp;[" &amp; I4 &amp;"]"),"")</f>
        <v>2627.7</v>
      </c>
      <c r="L4" s="9">
        <f>IFERROR(GETPIVOTDATA("[Measures].[Var%]",calc!$D$24,"[jogos].[Grupo de Jogos]","[jogos].[Grupo de Jogos].&amp;[" &amp; I4 &amp;"]"),"")</f>
        <v>0.30912965711458701</v>
      </c>
      <c r="M4" s="7">
        <f>IFERROR(GETPIVOTDATA("[Measures].[VarEuros]",calc!$D$24,"[jogos].[Grupo de Jogos]","[jogos].[Grupo de Jogos].&amp;[" &amp; I4 &amp;"]"),"")</f>
        <v>812.30000000000018</v>
      </c>
      <c r="P4" s="7">
        <f>GETPIVOTDATA("[Measures].[VendasYTD]",calc!$D$38,"[jogos].[Grupo de Jogos]","[jogos].[Grupo de Jogos].&amp;[" &amp; I4 &amp;"]")</f>
        <v>113350</v>
      </c>
      <c r="Q4" s="7">
        <f>GETPIVOTDATA("[Measures].[ObjectivosYTD]",calc!$D$38,"[jogos].[Grupo de Jogos]","[jogos].[Grupo de Jogos].&amp;[" &amp; I4 &amp;"]")</f>
        <v>128757.2999999999</v>
      </c>
      <c r="R4" s="9">
        <f>GETPIVOTDATA("[Measures].[Var%]",calc!$D$38,"[jogos].[Grupo de Jogos]","[jogos].[Grupo de Jogos].&amp;[" &amp; I4 &amp;"]")</f>
        <v>-0.11966156482001342</v>
      </c>
      <c r="S4" s="7">
        <f>GETPIVOTDATA("[Measures].[VarEuros]",calc!$D$38,"[jogos].[Grupo de Jogos]","[jogos].[Grupo de Jogos].&amp;[" &amp; I4 &amp;"]")</f>
        <v>-15407.299999999901</v>
      </c>
      <c r="T4" s="7">
        <f>GETPIVOTDATA("[Measures].[ComissãoYTD]",calc!$D$38,"[jogos].[Grupo de Jogos]","[jogos].[Grupo de Jogos].&amp;[" &amp; I4 &amp;"]")</f>
        <v>11335</v>
      </c>
    </row>
    <row r="5" spans="1:20" x14ac:dyDescent="0.3">
      <c r="A5" t="s">
        <v>6</v>
      </c>
      <c r="B5" s="7">
        <f>GETPIVOTDATA("[Measures].[VendasSemanaAnterior]",calc!$B$3)</f>
        <v>4152.5</v>
      </c>
      <c r="C5" s="7"/>
      <c r="E5" s="7"/>
      <c r="F5" s="46">
        <f>GETPIVOTDATA("[Measures].[PrestaçãoLWTD]",calc!$K$24)</f>
        <v>1968.38</v>
      </c>
      <c r="I5" t="s">
        <v>21</v>
      </c>
      <c r="J5" s="7">
        <f>IFERROR(GETPIVOTDATA("[Measures].[TotalVendas]",calc!$D$24,"[jogos].[Grupo de Jogos]","[jogos].[Grupo de Jogos].&amp;[" &amp; N5 &amp;"]"),"")</f>
        <v>955</v>
      </c>
      <c r="K5" s="7">
        <f>IFERROR(GETPIVOTDATA("[Measures].[TotalObjectivos]",calc!$D$24,"[jogos].[Grupo de Jogos]","[jogos].[Grupo de Jogos].&amp;[" &amp; N5 &amp;"]"),"")</f>
        <v>894.25</v>
      </c>
      <c r="L5" s="9">
        <f>IFERROR(GETPIVOTDATA("[Measures].[Var%]",calc!$D$24,"[jogos].[Grupo de Jogos]","[jogos].[Grupo de Jogos].&amp;[" &amp; N5 &amp;"]"),"")</f>
        <v>6.7934022924238183E-2</v>
      </c>
      <c r="M5" s="7">
        <f>IFERROR(GETPIVOTDATA("[Measures].[VarEuros]",calc!$D$24,"[jogos].[Grupo de Jogos]","[jogos].[Grupo de Jogos].&amp;[" &amp; N5 &amp;"]"),"")</f>
        <v>60.75</v>
      </c>
      <c r="N5" s="13" t="s">
        <v>22</v>
      </c>
      <c r="P5" s="7">
        <f>GETPIVOTDATA("[Measures].[VendasYTD]",calc!$D$38,"[jogos].[Grupo de Jogos]","[jogos].[Grupo de Jogos].&amp;[" &amp; N5 &amp;"]")</f>
        <v>42000</v>
      </c>
      <c r="Q5" s="7">
        <f>GETPIVOTDATA("[Measures].[ObjectivosYTD]",calc!$D$38,"[jogos].[Grupo de Jogos]","[jogos].[Grupo de Jogos].&amp;[" &amp; N5 &amp;"]")</f>
        <v>43818.25</v>
      </c>
      <c r="R5" s="9">
        <f>GETPIVOTDATA("[Measures].[Var%]",calc!$D$38,"[jogos].[Grupo de Jogos]","[jogos].[Grupo de Jogos].&amp;[" &amp; N5 &amp;"]")</f>
        <v>-4.14952673828827E-2</v>
      </c>
      <c r="S5" s="7">
        <f>GETPIVOTDATA("[Measures].[VarEuros]",calc!$D$38,"[jogos].[Grupo de Jogos]","[jogos].[Grupo de Jogos].&amp;[" &amp; N5 &amp;"]")</f>
        <v>-1818.25</v>
      </c>
      <c r="T5" s="7">
        <f>GETPIVOTDATA("[Measures].[ComissãoYTD]",calc!$D$38,"[jogos].[Grupo de Jogos]","[jogos].[Grupo de Jogos].&amp;[" &amp; N5 &amp;"]")</f>
        <v>2100</v>
      </c>
    </row>
    <row r="6" spans="1:20" x14ac:dyDescent="0.3">
      <c r="A6" t="s">
        <v>8</v>
      </c>
      <c r="B6" s="7">
        <f>GETPIVOTDATA("[Measures].[VendasMTD]",calc!$D$7)</f>
        <v>5571.5</v>
      </c>
      <c r="C6" s="7">
        <f>GETPIVOTDATA("[Measures].[ObjectivosMTD]",calc!$D$7)</f>
        <v>4592.7</v>
      </c>
      <c r="D6" s="11">
        <f>GETPIVOTDATA("[Measures].[Var%]",calc!$D$7)</f>
        <v>0.21312082217432016</v>
      </c>
      <c r="E6" s="7">
        <f>GETPIVOTDATA("[Measures].[VarEuros]",calc!$D$7)</f>
        <v>978.80000000000018</v>
      </c>
      <c r="F6" s="7">
        <f>GETPIVOTDATA("[Measures].[PrestaçãoMTD]",calc!$K$24)</f>
        <v>3022.99</v>
      </c>
      <c r="I6" t="s">
        <v>23</v>
      </c>
      <c r="J6" s="7">
        <f>IFERROR(GETPIVOTDATA("[Measures].[TotalVendas]",calc!$D$24,"[jogos].[Grupo de Jogos]","[jogos].[Grupo de Jogos].&amp;[" &amp; I6 &amp;"]"),"")</f>
        <v>191</v>
      </c>
      <c r="K6" s="7">
        <f>IFERROR(GETPIVOTDATA("[Measures].[TotalObjectivos]",calc!$D$24,"[jogos].[Grupo de Jogos]","[jogos].[Grupo de Jogos].&amp;[" &amp; I6 &amp;"]"),"")</f>
        <v>433.55</v>
      </c>
      <c r="L6" s="9">
        <f>IFERROR(GETPIVOTDATA("[Measures].[Var%]",calc!$D$24,"[jogos].[Grupo de Jogos]","[jogos].[Grupo de Jogos].&amp;[" &amp; I6 &amp;"]"),"")</f>
        <v>-0.55945104370891474</v>
      </c>
      <c r="M6" s="7">
        <f>IFERROR(GETPIVOTDATA("[Measures].[VarEuros]",calc!$D$24,"[jogos].[Grupo de Jogos]","[jogos].[Grupo de Jogos].&amp;[" &amp; I6 &amp;"]"),"")</f>
        <v>-242.55</v>
      </c>
      <c r="P6" s="7">
        <f>IFERROR(GETPIVOTDATA("[Measures].[VendasYTD]",calc!$D$38,"[jogos].[Grupo de Jogos]","[jogos].[Grupo de Jogos].&amp;[" &amp; I6 &amp;"]"),"")</f>
        <v>17525</v>
      </c>
      <c r="Q6" s="7">
        <f>IFERROR(GETPIVOTDATA("[Measures].[ObjectivosYTD]",calc!$D$38,"[jogos].[Grupo de Jogos]","[jogos].[Grupo de Jogos].&amp;[" &amp; I6 &amp;"]"),"")</f>
        <v>21243.949999999983</v>
      </c>
      <c r="R6" s="9">
        <f>IFERROR(GETPIVOTDATA("[Measures].[Var%]",calc!$D$38,"[jogos].[Grupo de Jogos]","[jogos].[Grupo de Jogos].&amp;[" &amp; I6 &amp;"]"),"")</f>
        <v>-0.17505925216355647</v>
      </c>
      <c r="S6" s="7">
        <f>IFERROR(GETPIVOTDATA("[Measures].[VarEuros]",calc!$D$38,"[jogos].[Grupo de Jogos]","[jogos].[Grupo de Jogos].&amp;[" &amp; I6 &amp;"]"),"")</f>
        <v>-3718.9499999999825</v>
      </c>
      <c r="T6" s="7">
        <f>IFERROR(GETPIVOTDATA("[Measures].[ComissãoYTD]",calc!$D$38,"[jogos].[Grupo de Jogos]","[jogos].[Grupo de Jogos].&amp;[" &amp; I6 &amp;"]"),"")</f>
        <v>876.25</v>
      </c>
    </row>
    <row r="7" spans="1:20" x14ac:dyDescent="0.3">
      <c r="A7" t="s">
        <v>24</v>
      </c>
      <c r="B7" s="7">
        <f>GETPIVOTDATA("[Measures].[VendasYTD]",calc!$D$3)</f>
        <v>195397</v>
      </c>
      <c r="C7" s="7">
        <f>GETPIVOTDATA("[Measures].[ObjectivosYTD]",calc!$D$3)</f>
        <v>225042.30000000019</v>
      </c>
      <c r="D7" s="11">
        <f>GETPIVOTDATA("[Measures].[Var%]",calc!$D$3)</f>
        <v>-0.131732123249718</v>
      </c>
      <c r="E7" s="7">
        <f>GETPIVOTDATA("[Measures].[VarEuros]",calc!$D$3)</f>
        <v>-29645.300000000017</v>
      </c>
      <c r="F7" s="7">
        <f>GETPIVOTDATA("[Measures].[PrestaçãoYTD]",calc!$K$24)</f>
        <v>83585.819999999992</v>
      </c>
      <c r="I7" t="s">
        <v>25</v>
      </c>
      <c r="J7" s="7">
        <f>IFERROR(GETPIVOTDATA("[Measures].[TotalVendas]",calc!$D$24,"[jogos].[Grupo de Jogos]","[jogos].[Grupo de Jogos].&amp;[" &amp; I7 &amp;"]"),"")</f>
        <v>220</v>
      </c>
      <c r="K7" s="7">
        <f>IFERROR(GETPIVOTDATA("[Measures].[TotalObjectivos]",calc!$D$24,"[jogos].[Grupo de Jogos]","[jogos].[Grupo de Jogos].&amp;[" &amp; I7 &amp;"]"),"")</f>
        <v>301.64999999999998</v>
      </c>
      <c r="L7" s="9">
        <f>IFERROR(GETPIVOTDATA("[Measures].[Var%]",calc!$D$24,"[jogos].[Grupo de Jogos]","[jogos].[Grupo de Jogos].&amp;[" &amp; I7 &amp;"]"),"")</f>
        <v>-0.27067793800762469</v>
      </c>
      <c r="M7" s="7">
        <f>IFERROR(GETPIVOTDATA("[Measures].[VarEuros]",calc!$D$24,"[jogos].[Grupo de Jogos]","[jogos].[Grupo de Jogos].&amp;[" &amp; I7 &amp;"]"),"")</f>
        <v>-81.649999999999977</v>
      </c>
      <c r="P7" s="7">
        <f>IFERROR(GETPIVOTDATA("[Measures].[VendasYTD]",calc!$D$38,"[jogos].[Grupo de Jogos]","[jogos].[Grupo de Jogos].&amp;[" &amp; I7 &amp;"]"),"")</f>
        <v>9587.5</v>
      </c>
      <c r="Q7" s="7">
        <f>IFERROR(GETPIVOTDATA("[Measures].[ObjectivosYTD]",calc!$D$38,"[jogos].[Grupo de Jogos]","[jogos].[Grupo de Jogos].&amp;[" &amp; I7 &amp;"]"),"")</f>
        <v>14780.849999999988</v>
      </c>
      <c r="R7" s="9">
        <f>IFERROR(GETPIVOTDATA("[Measures].[Var%]",calc!$D$38,"[jogos].[Grupo de Jogos]","[jogos].[Grupo de Jogos].&amp;[" &amp; I7 &amp;"]"),"")</f>
        <v>-0.35135665404898853</v>
      </c>
      <c r="S7" s="7">
        <f>IFERROR(GETPIVOTDATA("[Measures].[VarEuros]",calc!$D$38,"[jogos].[Grupo de Jogos]","[jogos].[Grupo de Jogos].&amp;[" &amp; I7 &amp;"]"),"")</f>
        <v>-5193.3499999999876</v>
      </c>
      <c r="T7" s="7">
        <f>IFERROR(GETPIVOTDATA("[Measures].[ComissãoYTD]",calc!$D$38,"[jogos].[Grupo de Jogos]","[jogos].[Grupo de Jogos].&amp;[" &amp; I7 &amp;"]"),"")</f>
        <v>479.375</v>
      </c>
    </row>
    <row r="8" spans="1:20" x14ac:dyDescent="0.3">
      <c r="A8" t="s">
        <v>10</v>
      </c>
      <c r="B8" s="7">
        <f>GETPIVOTDATA("[Measures].[VendasLYTD]",calc!$D$3)</f>
        <v>211592</v>
      </c>
      <c r="I8" t="s">
        <v>26</v>
      </c>
      <c r="J8" s="7">
        <f>IFERROR(GETPIVOTDATA("[Measures].[TotalVendas]",calc!$D$24,"[jogos].[Grupo de Jogos]","[jogos].[Grupo de Jogos].&amp;[" &amp; I8 &amp;"]"),"")</f>
        <v>130</v>
      </c>
      <c r="K8" s="7">
        <f>IFERROR(GETPIVOTDATA("[Measures].[TotalObjectivos]",calc!$D$24,"[jogos].[Grupo de Jogos]","[jogos].[Grupo de Jogos].&amp;[" &amp; I8 &amp;"]"),"")</f>
        <v>153</v>
      </c>
      <c r="L8" s="9">
        <f>IFERROR(GETPIVOTDATA("[Measures].[Var%]",calc!$D$24,"[jogos].[Grupo de Jogos]","[jogos].[Grupo de Jogos].&amp;[" &amp; I8 &amp;"]"),"")</f>
        <v>-0.15032679738562091</v>
      </c>
      <c r="M8" s="7">
        <f>IFERROR(GETPIVOTDATA("[Measures].[VarEuros]",calc!$D$24,"[jogos].[Grupo de Jogos]","[jogos].[Grupo de Jogos].&amp;[" &amp; I8 &amp;"]"),"")</f>
        <v>-23</v>
      </c>
      <c r="P8" s="7">
        <f>IFERROR(GETPIVOTDATA("[Measures].[VendasYTD]",calc!$D$38,"[jogos].[Grupo de Jogos]","[jogos].[Grupo de Jogos].&amp;[" &amp; I8 &amp;"]"),"")</f>
        <v>5882</v>
      </c>
      <c r="Q8" s="7">
        <f>IFERROR(GETPIVOTDATA("[Measures].[ObjectivosYTD]",calc!$D$38,"[jogos].[Grupo de Jogos]","[jogos].[Grupo de Jogos].&amp;[" &amp; I8 &amp;"]"),"")</f>
        <v>7497</v>
      </c>
      <c r="R8" s="9">
        <f>IFERROR(GETPIVOTDATA("[Measures].[Var%]",calc!$D$38,"[jogos].[Grupo de Jogos]","[jogos].[Grupo de Jogos].&amp;[" &amp; I8 &amp;"]"),"")</f>
        <v>-0.21541950113378686</v>
      </c>
      <c r="S8" s="7">
        <f>IFERROR(GETPIVOTDATA("[Measures].[VarEuros]",calc!$D$38,"[jogos].[Grupo de Jogos]","[jogos].[Grupo de Jogos].&amp;[" &amp; I8 &amp;"]"),"")</f>
        <v>-1615</v>
      </c>
      <c r="T8" s="7">
        <f>IFERROR(GETPIVOTDATA("[Measures].[ComissãoYTD]",calc!$D$38,"[jogos].[Grupo de Jogos]","[jogos].[Grupo de Jogos].&amp;[" &amp; I8 &amp;"]"),"")</f>
        <v>411.74</v>
      </c>
    </row>
    <row r="9" spans="1:20" x14ac:dyDescent="0.3">
      <c r="A9" t="s">
        <v>56</v>
      </c>
      <c r="B9" s="7">
        <f>GETPIVOTDATA("[Measures].[VendasLYSWTD]",calc!$D$15)</f>
        <v>5479</v>
      </c>
      <c r="I9" t="s">
        <v>27</v>
      </c>
      <c r="J9" s="7">
        <f>IFERROR(GETPIVOTDATA("[Measures].[TotalVendas]",calc!$D$24,"[jogos].[Grupo de Jogos]","[jogos].[Grupo de Jogos].&amp;[" &amp; I9 &amp;"]"),"")</f>
        <v>85</v>
      </c>
      <c r="K9" s="7">
        <f>IFERROR(GETPIVOTDATA("[Measures].[TotalObjectivos]",calc!$D$24,"[jogos].[Grupo de Jogos]","[jogos].[Grupo de Jogos].&amp;[" &amp; I9 &amp;"]"),"")</f>
        <v>107.4</v>
      </c>
      <c r="L9" s="9">
        <f>IFERROR(GETPIVOTDATA("[Measures].[Var%]",calc!$D$24,"[jogos].[Grupo de Jogos]","[jogos].[Grupo de Jogos].&amp;[" &amp; I9 &amp;"]"),"")</f>
        <v>-0.20856610800744882</v>
      </c>
      <c r="M9" s="7">
        <f>IFERROR(GETPIVOTDATA("[Measures].[VarEuros]",calc!$D$24,"[jogos].[Grupo de Jogos]","[jogos].[Grupo de Jogos].&amp;[" &amp; I9 &amp;"]"),"")</f>
        <v>-22.400000000000006</v>
      </c>
      <c r="P9" s="7">
        <f>IFERROR(GETPIVOTDATA("[Measures].[VendasYTD]",calc!$D$38,"[jogos].[Grupo de Jogos]","[jogos].[Grupo de Jogos].&amp;[" &amp; I9 &amp;"]"),"")</f>
        <v>4381</v>
      </c>
      <c r="Q9" s="7">
        <f>IFERROR(GETPIVOTDATA("[Measures].[ObjectivosYTD]",calc!$D$38,"[jogos].[Grupo de Jogos]","[jogos].[Grupo de Jogos].&amp;[" &amp; I9 &amp;"]"),"")</f>
        <v>5262.5999999999985</v>
      </c>
      <c r="R9" s="9">
        <f>IFERROR(GETPIVOTDATA("[Measures].[Var%]",calc!$D$38,"[jogos].[Grupo de Jogos]","[jogos].[Grupo de Jogos].&amp;[" &amp; I9 &amp;"]"),"")</f>
        <v>-0.16752175730627422</v>
      </c>
      <c r="S9" s="7">
        <f>IFERROR(GETPIVOTDATA("[Measures].[VarEuros]",calc!$D$38,"[jogos].[Grupo de Jogos]","[jogos].[Grupo de Jogos].&amp;[" &amp; I9 &amp;"]"),"")</f>
        <v>-881.59999999999854</v>
      </c>
      <c r="T9" s="7">
        <f>IFERROR(GETPIVOTDATA("[Measures].[ComissãoYTD]",calc!$D$38,"[jogos].[Grupo de Jogos]","[jogos].[Grupo de Jogos].&amp;[" &amp; I9 &amp;"]"),"")</f>
        <v>547.625</v>
      </c>
    </row>
    <row r="10" spans="1:20" x14ac:dyDescent="0.3">
      <c r="I10" t="s">
        <v>28</v>
      </c>
      <c r="J10" s="7">
        <f>IFERROR(GETPIVOTDATA("[Measures].[TotalVendas]",calc!$D$24,"[jogos].[Grupo de Jogos]","[jogos].[Grupo de Jogos].&amp;[" &amp; I10 &amp;"]"),"")</f>
        <v>525</v>
      </c>
      <c r="K10" s="7">
        <f>IFERROR(GETPIVOTDATA("[Measures].[TotalObjectivos]",calc!$D$24,"[jogos].[Grupo de Jogos]","[jogos].[Grupo de Jogos].&amp;[" &amp; I10 &amp;"]"),"")</f>
        <v>72.150000000000006</v>
      </c>
      <c r="L10" s="9">
        <f>IFERROR(GETPIVOTDATA("[Measures].[Var%]",calc!$D$24,"[jogos].[Grupo de Jogos]","[jogos].[Grupo de Jogos].&amp;[" &amp; I10 &amp;"]"),"")</f>
        <v>6.2765072765072762</v>
      </c>
      <c r="M10" s="7">
        <f>IFERROR(GETPIVOTDATA("[Measures].[VarEuros]",calc!$D$24,"[jogos].[Grupo de Jogos]","[jogos].[Grupo de Jogos].&amp;[" &amp; I10 &amp;"]"),"")</f>
        <v>452.85</v>
      </c>
      <c r="P10" s="7">
        <f>IFERROR(GETPIVOTDATA("[Measures].[VendasYTD]",calc!$D$38,"[jogos].[Grupo de Jogos]","[jogos].[Grupo de Jogos].&amp;[" &amp; I10 &amp;"]"),"")</f>
        <v>2255</v>
      </c>
      <c r="Q10" s="7">
        <f>IFERROR(GETPIVOTDATA("[Measures].[ObjectivosYTD]",calc!$D$38,"[jogos].[Grupo de Jogos]","[jogos].[Grupo de Jogos].&amp;[" &amp; I10 &amp;"]"),"")</f>
        <v>3535.3500000000026</v>
      </c>
      <c r="R10" s="9">
        <f>IFERROR(GETPIVOTDATA("[Measures].[Var%]",calc!$D$38,"[jogos].[Grupo de Jogos]","[jogos].[Grupo de Jogos].&amp;[" &amp; I10 &amp;"]"),"")</f>
        <v>-0.36215650501364832</v>
      </c>
      <c r="S10" s="7">
        <f>IFERROR(GETPIVOTDATA("[Measures].[VarEuros]",calc!$D$38,"[jogos].[Grupo de Jogos]","[jogos].[Grupo de Jogos].&amp;[" &amp; I10 &amp;"]"),"")</f>
        <v>-1280.3500000000026</v>
      </c>
      <c r="T10" s="7">
        <f>IFERROR(GETPIVOTDATA("[Measures].[ComissãoYTD]",calc!$D$38,"[jogos].[Grupo de Jogos]","[jogos].[Grupo de Jogos].&amp;[" &amp; I10 &amp;"]"),"")</f>
        <v>286.38499999999999</v>
      </c>
    </row>
    <row r="11" spans="1:20" x14ac:dyDescent="0.3">
      <c r="I11" t="s">
        <v>29</v>
      </c>
      <c r="J11" s="7">
        <f>IFERROR(GETPIVOTDATA("[Measures].[TotalVendas]",calc!$D$24,"[jogos].[Grupo de Jogos]","[jogos].[Grupo de Jogos].&amp;[" &amp; I11 &amp;"]"),"")</f>
        <v>25.5</v>
      </c>
      <c r="K11" s="7">
        <f>IFERROR(GETPIVOTDATA("[Measures].[TotalObjectivos]",calc!$D$24,"[jogos].[Grupo de Jogos]","[jogos].[Grupo de Jogos].&amp;[" &amp; I11 &amp;"]"),"")</f>
        <v>3</v>
      </c>
      <c r="L11" s="9">
        <f>IFERROR(GETPIVOTDATA("[Measures].[Var%]",calc!$D$24,"[jogos].[Grupo de Jogos]","[jogos].[Grupo de Jogos].&amp;[" &amp; I11 &amp;"]"),"")</f>
        <v>7.5</v>
      </c>
      <c r="M11" s="7">
        <f>IFERROR(GETPIVOTDATA("[Measures].[VarEuros]",calc!$D$24,"[jogos].[Grupo de Jogos]","[jogos].[Grupo de Jogos].&amp;[" &amp; I11 &amp;"]"),"")</f>
        <v>22.5</v>
      </c>
      <c r="P11" s="7">
        <f>IFERROR(GETPIVOTDATA("[Measures].[VendasYTD]",calc!$D$38,"[jogos].[Grupo de Jogos]","[jogos].[Grupo de Jogos].&amp;[" &amp; I11 &amp;"]"),"")</f>
        <v>416.5</v>
      </c>
      <c r="Q11" s="7">
        <f>IFERROR(GETPIVOTDATA("[Measures].[ObjectivosYTD]",calc!$D$38,"[jogos].[Grupo de Jogos]","[jogos].[Grupo de Jogos].&amp;[" &amp; I11 &amp;"]"),"")</f>
        <v>147</v>
      </c>
      <c r="R11" s="9">
        <f>IFERROR(GETPIVOTDATA("[Measures].[Var%]",calc!$D$38,"[jogos].[Grupo de Jogos]","[jogos].[Grupo de Jogos].&amp;[" &amp; I11 &amp;"]"),"")</f>
        <v>1.8333333333333333</v>
      </c>
      <c r="S11" s="7">
        <f>IFERROR(GETPIVOTDATA("[Measures].[VarEuros]",calc!$D$38,"[jogos].[Grupo de Jogos]","[jogos].[Grupo de Jogos].&amp;[" &amp; I11 &amp;"]"),"")</f>
        <v>269.5</v>
      </c>
      <c r="T11" s="7">
        <f>IFERROR(GETPIVOTDATA("[Measures].[ComissãoYTD]",calc!$D$38,"[jogos].[Grupo de Jogos]","[jogos].[Grupo de Jogos].&amp;[" &amp; I11 &amp;"]"),"")</f>
        <v>29.155000000000001</v>
      </c>
    </row>
    <row r="12" spans="1:20" x14ac:dyDescent="0.3">
      <c r="I12" t="s">
        <v>30</v>
      </c>
      <c r="J12" s="7" t="str">
        <f>IFERROR(GETPIVOTDATA("[Measures].[TotalVendas]",calc!$D$24,"[jogos].[Grupo de Jogos]","[jogos].[Grupo de Jogos].&amp;[" &amp; I12 &amp;"]"),"")</f>
        <v/>
      </c>
      <c r="K12" s="7" t="str">
        <f>IFERROR(GETPIVOTDATA("[Measures].[TotalObjectivos]",calc!$D$24,"[jogos].[Grupo de Jogos]","[jogos].[Grupo de Jogos].&amp;[" &amp; I12 &amp;"]"),"")</f>
        <v/>
      </c>
      <c r="L12" s="9" t="str">
        <f>IFERROR(GETPIVOTDATA("[Measures].[Var%]",calc!$D$24,"[jogos].[Grupo de Jogos]","[jogos].[Grupo de Jogos].&amp;[" &amp; I12 &amp;"]"),"")</f>
        <v/>
      </c>
      <c r="M12" s="7" t="str">
        <f>IFERROR(GETPIVOTDATA("[Measures].[VarEuros]",calc!$D$24,"[jogos].[Grupo de Jogos]","[jogos].[Grupo de Jogos].&amp;[" &amp; I12 &amp;"]"),"")</f>
        <v/>
      </c>
      <c r="P12" s="7" t="str">
        <f>IFERROR(GETPIVOTDATA("[Measures].[VendasYTD]",calc!$D$38,"[jogos].[Grupo de Jogos]","[jogos].[Grupo de Jogos].&amp;[" &amp; I12 &amp;"]"),"")</f>
        <v/>
      </c>
      <c r="Q12" s="7" t="str">
        <f>IFERROR(GETPIVOTDATA("[Measures].[ObjectivosYTD]",calc!$D$38,"[jogos].[Grupo de Jogos]","[jogos].[Grupo de Jogos].&amp;[" &amp; I12 &amp;"]"),"")</f>
        <v/>
      </c>
      <c r="R12" s="9" t="str">
        <f>IFERROR(GETPIVOTDATA("[Measures].[Var%]",calc!$D$38,"[jogos].[Grupo de Jogos]","[jogos].[Grupo de Jogos].&amp;[" &amp; I12 &amp;"]"),"")</f>
        <v/>
      </c>
      <c r="S12" s="7" t="str">
        <f>IFERROR(GETPIVOTDATA("[Measures].[VarEuros]",calc!$D$38,"[jogos].[Grupo de Jogos]","[jogos].[Grupo de Jogos].&amp;[" &amp; I12 &amp;"]"),"")</f>
        <v/>
      </c>
      <c r="T12" t="str">
        <f>IFERROR(GETPIVOTDATA("[Measures].[ComissãoYTD]",calc!$D$38,"[jogos].[Grupo de Jogos]","[jogos].[Grupo de Jogos].&amp;[" &amp; I12 &amp;"]"),"")</f>
        <v/>
      </c>
    </row>
  </sheetData>
  <mergeCells count="2">
    <mergeCell ref="J1:M1"/>
    <mergeCell ref="P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F87A-5E0C-4EF8-871F-C2A551552E7A}">
  <sheetPr>
    <tabColor theme="5" tint="0.39997558519241921"/>
  </sheetPr>
  <dimension ref="B14:C75"/>
  <sheetViews>
    <sheetView showGridLines="0" topLeftCell="A13" workbookViewId="0">
      <selection activeCell="C17" sqref="C17"/>
    </sheetView>
  </sheetViews>
  <sheetFormatPr defaultRowHeight="14.4" x14ac:dyDescent="0.3"/>
  <cols>
    <col min="2" max="2" width="11.109375" bestFit="1" customWidth="1"/>
    <col min="3" max="4" width="10.88671875" bestFit="1" customWidth="1"/>
    <col min="5" max="5" width="14.88671875" bestFit="1" customWidth="1"/>
    <col min="11" max="11" width="8.88671875" customWidth="1"/>
  </cols>
  <sheetData>
    <row r="14" spans="2:3" x14ac:dyDescent="0.3">
      <c r="B14" s="1" t="s">
        <v>31</v>
      </c>
      <c r="C14" t="s">
        <v>32</v>
      </c>
    </row>
    <row r="15" spans="2:3" x14ac:dyDescent="0.3">
      <c r="B15" s="2" t="s">
        <v>65</v>
      </c>
      <c r="C15" s="131"/>
    </row>
    <row r="16" spans="2:3" x14ac:dyDescent="0.3">
      <c r="B16" s="3">
        <v>1</v>
      </c>
      <c r="C16" s="128">
        <v>5082</v>
      </c>
    </row>
    <row r="17" spans="2:3" x14ac:dyDescent="0.3">
      <c r="B17" s="3">
        <v>2</v>
      </c>
      <c r="C17" s="128">
        <v>5493.5</v>
      </c>
    </row>
    <row r="18" spans="2:3" x14ac:dyDescent="0.3">
      <c r="B18" s="3">
        <v>3</v>
      </c>
      <c r="C18" s="128">
        <v>3350</v>
      </c>
    </row>
    <row r="19" spans="2:3" x14ac:dyDescent="0.3">
      <c r="B19" s="3">
        <v>4</v>
      </c>
      <c r="C19" s="128">
        <v>5390.5</v>
      </c>
    </row>
    <row r="20" spans="2:3" x14ac:dyDescent="0.3">
      <c r="B20" s="3">
        <v>5</v>
      </c>
      <c r="C20" s="128">
        <v>5130</v>
      </c>
    </row>
    <row r="21" spans="2:3" x14ac:dyDescent="0.3">
      <c r="B21" s="2" t="s">
        <v>66</v>
      </c>
      <c r="C21" s="131"/>
    </row>
    <row r="22" spans="2:3" x14ac:dyDescent="0.3">
      <c r="B22" s="3">
        <v>6</v>
      </c>
      <c r="C22" s="128">
        <v>3575</v>
      </c>
    </row>
    <row r="23" spans="2:3" x14ac:dyDescent="0.3">
      <c r="B23" s="3">
        <v>7</v>
      </c>
      <c r="C23" s="128">
        <v>4797</v>
      </c>
    </row>
    <row r="24" spans="2:3" x14ac:dyDescent="0.3">
      <c r="B24" s="3">
        <v>8</v>
      </c>
      <c r="C24" s="128">
        <v>3072.5</v>
      </c>
    </row>
    <row r="25" spans="2:3" x14ac:dyDescent="0.3">
      <c r="B25" s="3">
        <v>9</v>
      </c>
      <c r="C25" s="128">
        <v>3291</v>
      </c>
    </row>
    <row r="26" spans="2:3" x14ac:dyDescent="0.3">
      <c r="B26" s="2" t="s">
        <v>67</v>
      </c>
      <c r="C26" s="131"/>
    </row>
    <row r="27" spans="2:3" x14ac:dyDescent="0.3">
      <c r="B27" s="3">
        <v>10</v>
      </c>
      <c r="C27" s="128">
        <v>4800</v>
      </c>
    </row>
    <row r="28" spans="2:3" x14ac:dyDescent="0.3">
      <c r="B28" s="3">
        <v>11</v>
      </c>
      <c r="C28" s="128">
        <v>5052.5</v>
      </c>
    </row>
    <row r="29" spans="2:3" x14ac:dyDescent="0.3">
      <c r="B29" s="3">
        <v>12</v>
      </c>
      <c r="C29" s="128">
        <v>5142</v>
      </c>
    </row>
    <row r="30" spans="2:3" x14ac:dyDescent="0.3">
      <c r="B30" s="3">
        <v>13</v>
      </c>
      <c r="C30" s="128">
        <v>3928</v>
      </c>
    </row>
    <row r="31" spans="2:3" x14ac:dyDescent="0.3">
      <c r="B31" s="2" t="s">
        <v>68</v>
      </c>
      <c r="C31" s="131"/>
    </row>
    <row r="32" spans="2:3" x14ac:dyDescent="0.3">
      <c r="B32" s="3">
        <v>14</v>
      </c>
      <c r="C32" s="128">
        <v>2996</v>
      </c>
    </row>
    <row r="33" spans="2:3" x14ac:dyDescent="0.3">
      <c r="B33" s="3">
        <v>15</v>
      </c>
      <c r="C33" s="128">
        <v>3043.5</v>
      </c>
    </row>
    <row r="34" spans="2:3" x14ac:dyDescent="0.3">
      <c r="B34" s="3">
        <v>16</v>
      </c>
      <c r="C34" s="128">
        <v>2798.5</v>
      </c>
    </row>
    <row r="35" spans="2:3" x14ac:dyDescent="0.3">
      <c r="B35" s="3">
        <v>17</v>
      </c>
      <c r="C35" s="128">
        <v>3041</v>
      </c>
    </row>
    <row r="36" spans="2:3" x14ac:dyDescent="0.3">
      <c r="B36" s="2" t="s">
        <v>69</v>
      </c>
      <c r="C36" s="131"/>
    </row>
    <row r="37" spans="2:3" x14ac:dyDescent="0.3">
      <c r="B37" s="3">
        <v>18</v>
      </c>
      <c r="C37" s="128">
        <v>4256.5</v>
      </c>
    </row>
    <row r="38" spans="2:3" x14ac:dyDescent="0.3">
      <c r="B38" s="3">
        <v>19</v>
      </c>
      <c r="C38" s="128">
        <v>3338</v>
      </c>
    </row>
    <row r="39" spans="2:3" x14ac:dyDescent="0.3">
      <c r="B39" s="3">
        <v>20</v>
      </c>
      <c r="C39" s="128">
        <v>4144</v>
      </c>
    </row>
    <row r="40" spans="2:3" x14ac:dyDescent="0.3">
      <c r="B40" s="3">
        <v>21</v>
      </c>
      <c r="C40" s="128">
        <v>4547</v>
      </c>
    </row>
    <row r="41" spans="2:3" x14ac:dyDescent="0.3">
      <c r="B41" s="3">
        <v>22</v>
      </c>
      <c r="C41" s="128">
        <v>4880</v>
      </c>
    </row>
    <row r="42" spans="2:3" x14ac:dyDescent="0.3">
      <c r="B42" s="2" t="s">
        <v>70</v>
      </c>
      <c r="C42" s="131"/>
    </row>
    <row r="43" spans="2:3" x14ac:dyDescent="0.3">
      <c r="B43" s="3">
        <v>23</v>
      </c>
      <c r="C43" s="128">
        <v>3461.5</v>
      </c>
    </row>
    <row r="44" spans="2:3" x14ac:dyDescent="0.3">
      <c r="B44" s="3">
        <v>24</v>
      </c>
      <c r="C44" s="128">
        <v>3918.5</v>
      </c>
    </row>
    <row r="45" spans="2:3" x14ac:dyDescent="0.3">
      <c r="B45" s="3">
        <v>25</v>
      </c>
      <c r="C45" s="128">
        <v>3260.5</v>
      </c>
    </row>
    <row r="46" spans="2:3" x14ac:dyDescent="0.3">
      <c r="B46" s="3">
        <v>26</v>
      </c>
      <c r="C46" s="128">
        <v>4553.5</v>
      </c>
    </row>
    <row r="47" spans="2:3" x14ac:dyDescent="0.3">
      <c r="B47" s="2" t="s">
        <v>71</v>
      </c>
      <c r="C47" s="131"/>
    </row>
    <row r="48" spans="2:3" x14ac:dyDescent="0.3">
      <c r="B48" s="3">
        <v>27</v>
      </c>
      <c r="C48" s="128">
        <v>3003.5</v>
      </c>
    </row>
    <row r="49" spans="2:3" x14ac:dyDescent="0.3">
      <c r="B49" s="3">
        <v>28</v>
      </c>
      <c r="C49" s="128">
        <v>4386.5</v>
      </c>
    </row>
    <row r="50" spans="2:3" x14ac:dyDescent="0.3">
      <c r="B50" s="3">
        <v>29</v>
      </c>
      <c r="C50" s="128">
        <v>3092.5</v>
      </c>
    </row>
    <row r="51" spans="2:3" x14ac:dyDescent="0.3">
      <c r="B51" s="3">
        <v>30</v>
      </c>
      <c r="C51" s="128">
        <v>4542.5</v>
      </c>
    </row>
    <row r="52" spans="2:3" x14ac:dyDescent="0.3">
      <c r="B52" s="2" t="s">
        <v>72</v>
      </c>
      <c r="C52" s="131"/>
    </row>
    <row r="53" spans="2:3" x14ac:dyDescent="0.3">
      <c r="B53" s="3">
        <v>31</v>
      </c>
      <c r="C53" s="128">
        <v>3806</v>
      </c>
    </row>
    <row r="54" spans="2:3" x14ac:dyDescent="0.3">
      <c r="B54" s="3">
        <v>32</v>
      </c>
      <c r="C54" s="128">
        <v>255</v>
      </c>
    </row>
    <row r="55" spans="2:3" x14ac:dyDescent="0.3">
      <c r="B55" s="3">
        <v>33</v>
      </c>
      <c r="C55" s="128">
        <v>3380</v>
      </c>
    </row>
    <row r="56" spans="2:3" x14ac:dyDescent="0.3">
      <c r="B56" s="3">
        <v>34</v>
      </c>
      <c r="C56" s="128">
        <v>3274</v>
      </c>
    </row>
    <row r="57" spans="2:3" x14ac:dyDescent="0.3">
      <c r="B57" s="3">
        <v>35</v>
      </c>
      <c r="C57" s="128">
        <v>3245.5</v>
      </c>
    </row>
    <row r="58" spans="2:3" x14ac:dyDescent="0.3">
      <c r="B58" s="2" t="s">
        <v>73</v>
      </c>
      <c r="C58" s="131"/>
    </row>
    <row r="59" spans="2:3" x14ac:dyDescent="0.3">
      <c r="B59" s="3">
        <v>36</v>
      </c>
      <c r="C59" s="128">
        <v>4152</v>
      </c>
    </row>
    <row r="60" spans="2:3" x14ac:dyDescent="0.3">
      <c r="B60" s="3">
        <v>37</v>
      </c>
      <c r="C60" s="128">
        <v>3174.5</v>
      </c>
    </row>
    <row r="61" spans="2:3" x14ac:dyDescent="0.3">
      <c r="B61" s="3">
        <v>38</v>
      </c>
      <c r="C61" s="128">
        <v>4497</v>
      </c>
    </row>
    <row r="62" spans="2:3" x14ac:dyDescent="0.3">
      <c r="B62" s="3">
        <v>39</v>
      </c>
      <c r="C62" s="128">
        <v>4831</v>
      </c>
    </row>
    <row r="63" spans="2:3" x14ac:dyDescent="0.3">
      <c r="B63" s="2" t="s">
        <v>74</v>
      </c>
      <c r="C63" s="131"/>
    </row>
    <row r="64" spans="2:3" x14ac:dyDescent="0.3">
      <c r="B64" s="3">
        <v>40</v>
      </c>
      <c r="C64" s="128">
        <v>4657.5</v>
      </c>
    </row>
    <row r="65" spans="2:3" x14ac:dyDescent="0.3">
      <c r="B65" s="3">
        <v>41</v>
      </c>
      <c r="C65" s="128">
        <v>4906</v>
      </c>
    </row>
    <row r="66" spans="2:3" x14ac:dyDescent="0.3">
      <c r="B66" s="3">
        <v>42</v>
      </c>
      <c r="C66" s="128">
        <v>4279</v>
      </c>
    </row>
    <row r="67" spans="2:3" x14ac:dyDescent="0.3">
      <c r="B67" s="3">
        <v>43</v>
      </c>
      <c r="C67" s="128">
        <v>4262</v>
      </c>
    </row>
    <row r="68" spans="2:3" x14ac:dyDescent="0.3">
      <c r="B68" s="3">
        <v>44</v>
      </c>
      <c r="C68" s="128">
        <v>2570.5</v>
      </c>
    </row>
    <row r="69" spans="2:3" x14ac:dyDescent="0.3">
      <c r="B69" s="2" t="s">
        <v>75</v>
      </c>
      <c r="C69" s="131"/>
    </row>
    <row r="70" spans="2:3" x14ac:dyDescent="0.3">
      <c r="B70" s="3">
        <v>45</v>
      </c>
      <c r="C70" s="128">
        <v>4298</v>
      </c>
    </row>
    <row r="71" spans="2:3" x14ac:dyDescent="0.3">
      <c r="B71" s="3">
        <v>46</v>
      </c>
      <c r="C71" s="128">
        <v>4236</v>
      </c>
    </row>
    <row r="72" spans="2:3" x14ac:dyDescent="0.3">
      <c r="B72" s="3">
        <v>47</v>
      </c>
      <c r="C72" s="128">
        <v>4481.5</v>
      </c>
    </row>
    <row r="73" spans="2:3" x14ac:dyDescent="0.3">
      <c r="B73" s="3">
        <v>48</v>
      </c>
      <c r="C73" s="128">
        <v>4152.5</v>
      </c>
    </row>
    <row r="74" spans="2:3" x14ac:dyDescent="0.3">
      <c r="B74" s="2" t="s">
        <v>76</v>
      </c>
      <c r="C74" s="131"/>
    </row>
    <row r="75" spans="2:3" x14ac:dyDescent="0.3">
      <c r="B75" s="3">
        <v>49</v>
      </c>
      <c r="C75" s="128">
        <v>5571.5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CDAB-0073-416E-AF68-396782E97E62}">
  <sheetPr>
    <tabColor theme="5" tint="0.39997558519241921"/>
  </sheetPr>
  <dimension ref="B3:G409"/>
  <sheetViews>
    <sheetView showGridLines="0" zoomScale="90" zoomScaleNormal="90" workbookViewId="0">
      <selection activeCell="E36" sqref="E36"/>
    </sheetView>
  </sheetViews>
  <sheetFormatPr defaultColWidth="9.109375" defaultRowHeight="13.8" x14ac:dyDescent="0.35"/>
  <cols>
    <col min="1" max="1" width="9.109375" style="5"/>
    <col min="2" max="2" width="11" style="5" bestFit="1" customWidth="1"/>
    <col min="3" max="3" width="15.21875" style="5" bestFit="1" customWidth="1"/>
    <col min="4" max="4" width="13.6640625" style="5" bestFit="1" customWidth="1"/>
    <col min="5" max="5" width="6.88671875" style="5" bestFit="1" customWidth="1"/>
    <col min="6" max="6" width="8.6640625" style="5" bestFit="1" customWidth="1"/>
    <col min="7" max="7" width="13.6640625" style="5" bestFit="1" customWidth="1"/>
    <col min="8" max="16384" width="9.109375" style="5"/>
  </cols>
  <sheetData>
    <row r="3" spans="2:7" ht="15" x14ac:dyDescent="0.35">
      <c r="B3" s="86" t="s">
        <v>31</v>
      </c>
      <c r="C3" s="87" t="s">
        <v>57</v>
      </c>
      <c r="D3"/>
      <c r="E3"/>
      <c r="F3"/>
      <c r="G3"/>
    </row>
    <row r="4" spans="2:7" ht="15" x14ac:dyDescent="0.35">
      <c r="B4" s="88" t="s">
        <v>65</v>
      </c>
      <c r="C4" s="132"/>
      <c r="D4"/>
      <c r="E4"/>
      <c r="F4"/>
      <c r="G4"/>
    </row>
    <row r="5" spans="2:7" ht="15" x14ac:dyDescent="0.35">
      <c r="B5" s="95">
        <v>1</v>
      </c>
      <c r="C5" s="133">
        <v>5082</v>
      </c>
      <c r="D5"/>
      <c r="E5"/>
      <c r="F5"/>
      <c r="G5"/>
    </row>
    <row r="6" spans="2:7" ht="15" x14ac:dyDescent="0.35">
      <c r="B6" s="95">
        <v>2</v>
      </c>
      <c r="C6" s="133">
        <v>5493.5</v>
      </c>
      <c r="D6"/>
      <c r="E6"/>
      <c r="F6"/>
      <c r="G6"/>
    </row>
    <row r="7" spans="2:7" ht="15" x14ac:dyDescent="0.35">
      <c r="B7" s="95">
        <v>3</v>
      </c>
      <c r="C7" s="133">
        <v>3350</v>
      </c>
      <c r="D7"/>
      <c r="E7"/>
      <c r="F7"/>
      <c r="G7"/>
    </row>
    <row r="8" spans="2:7" ht="15" x14ac:dyDescent="0.35">
      <c r="B8" s="95">
        <v>4</v>
      </c>
      <c r="C8" s="133">
        <v>5390.5</v>
      </c>
      <c r="D8"/>
      <c r="E8"/>
      <c r="F8"/>
      <c r="G8"/>
    </row>
    <row r="9" spans="2:7" ht="15" x14ac:dyDescent="0.35">
      <c r="B9" s="95">
        <v>5</v>
      </c>
      <c r="C9" s="133">
        <v>5130</v>
      </c>
      <c r="D9"/>
      <c r="E9"/>
      <c r="F9"/>
      <c r="G9"/>
    </row>
    <row r="10" spans="2:7" ht="15" x14ac:dyDescent="0.35">
      <c r="B10" s="88" t="s">
        <v>66</v>
      </c>
      <c r="C10" s="132"/>
      <c r="D10"/>
      <c r="E10"/>
      <c r="F10"/>
      <c r="G10"/>
    </row>
    <row r="11" spans="2:7" ht="15" x14ac:dyDescent="0.35">
      <c r="B11" s="95">
        <v>6</v>
      </c>
      <c r="C11" s="133">
        <v>3575</v>
      </c>
      <c r="D11"/>
      <c r="E11"/>
      <c r="F11"/>
      <c r="G11"/>
    </row>
    <row r="12" spans="2:7" ht="15" x14ac:dyDescent="0.35">
      <c r="B12" s="95">
        <v>7</v>
      </c>
      <c r="C12" s="133">
        <v>4797</v>
      </c>
      <c r="D12"/>
      <c r="E12"/>
      <c r="F12"/>
      <c r="G12"/>
    </row>
    <row r="13" spans="2:7" ht="15" x14ac:dyDescent="0.35">
      <c r="B13" s="95">
        <v>8</v>
      </c>
      <c r="C13" s="133">
        <v>3072.5</v>
      </c>
      <c r="D13"/>
      <c r="E13"/>
      <c r="F13"/>
      <c r="G13"/>
    </row>
    <row r="14" spans="2:7" ht="15" x14ac:dyDescent="0.35">
      <c r="B14" s="95">
        <v>9</v>
      </c>
      <c r="C14" s="133">
        <v>3291</v>
      </c>
      <c r="D14"/>
      <c r="E14"/>
      <c r="F14"/>
      <c r="G14"/>
    </row>
    <row r="15" spans="2:7" ht="15" x14ac:dyDescent="0.35">
      <c r="B15" s="88" t="s">
        <v>67</v>
      </c>
      <c r="C15" s="132"/>
      <c r="D15"/>
      <c r="E15"/>
      <c r="F15"/>
      <c r="G15"/>
    </row>
    <row r="16" spans="2:7" ht="15" x14ac:dyDescent="0.35">
      <c r="B16" s="95">
        <v>10</v>
      </c>
      <c r="C16" s="133">
        <v>4800</v>
      </c>
      <c r="D16"/>
      <c r="E16"/>
      <c r="F16"/>
      <c r="G16"/>
    </row>
    <row r="17" spans="2:7" ht="15" x14ac:dyDescent="0.35">
      <c r="B17" s="95">
        <v>11</v>
      </c>
      <c r="C17" s="133">
        <v>5052.5</v>
      </c>
      <c r="D17"/>
      <c r="E17"/>
      <c r="F17"/>
      <c r="G17"/>
    </row>
    <row r="18" spans="2:7" ht="15" x14ac:dyDescent="0.35">
      <c r="B18" s="95">
        <v>12</v>
      </c>
      <c r="C18" s="133">
        <v>5142</v>
      </c>
      <c r="D18"/>
      <c r="E18"/>
      <c r="F18"/>
      <c r="G18"/>
    </row>
    <row r="19" spans="2:7" ht="15" x14ac:dyDescent="0.35">
      <c r="B19" s="95">
        <v>13</v>
      </c>
      <c r="C19" s="133">
        <v>3928</v>
      </c>
      <c r="D19"/>
      <c r="E19"/>
      <c r="F19"/>
      <c r="G19"/>
    </row>
    <row r="20" spans="2:7" ht="15" x14ac:dyDescent="0.35">
      <c r="B20" s="88" t="s">
        <v>68</v>
      </c>
      <c r="C20" s="132"/>
      <c r="D20"/>
      <c r="E20"/>
      <c r="F20"/>
      <c r="G20"/>
    </row>
    <row r="21" spans="2:7" ht="15" x14ac:dyDescent="0.35">
      <c r="B21" s="95">
        <v>14</v>
      </c>
      <c r="C21" s="133">
        <v>2996</v>
      </c>
      <c r="D21"/>
      <c r="E21"/>
      <c r="F21"/>
      <c r="G21"/>
    </row>
    <row r="22" spans="2:7" ht="15" x14ac:dyDescent="0.35">
      <c r="B22" s="95">
        <v>15</v>
      </c>
      <c r="C22" s="133">
        <v>3043.5</v>
      </c>
      <c r="D22"/>
      <c r="E22"/>
      <c r="F22"/>
      <c r="G22"/>
    </row>
    <row r="23" spans="2:7" ht="15" x14ac:dyDescent="0.35">
      <c r="B23" s="95">
        <v>16</v>
      </c>
      <c r="C23" s="133">
        <v>2798.5</v>
      </c>
      <c r="D23"/>
      <c r="E23"/>
      <c r="F23"/>
      <c r="G23"/>
    </row>
    <row r="24" spans="2:7" ht="15" x14ac:dyDescent="0.35">
      <c r="B24" s="95">
        <v>17</v>
      </c>
      <c r="C24" s="133">
        <v>3041</v>
      </c>
      <c r="D24"/>
      <c r="E24"/>
      <c r="F24"/>
      <c r="G24"/>
    </row>
    <row r="25" spans="2:7" ht="15" x14ac:dyDescent="0.35">
      <c r="B25" s="88" t="s">
        <v>69</v>
      </c>
      <c r="C25" s="132"/>
      <c r="D25"/>
      <c r="E25"/>
      <c r="F25"/>
      <c r="G25"/>
    </row>
    <row r="26" spans="2:7" ht="15" x14ac:dyDescent="0.35">
      <c r="B26" s="95">
        <v>18</v>
      </c>
      <c r="C26" s="133">
        <v>4256.5</v>
      </c>
      <c r="D26"/>
      <c r="E26"/>
      <c r="F26"/>
      <c r="G26"/>
    </row>
    <row r="27" spans="2:7" ht="15" x14ac:dyDescent="0.35">
      <c r="B27" s="95">
        <v>19</v>
      </c>
      <c r="C27" s="133">
        <v>3338</v>
      </c>
      <c r="D27"/>
      <c r="E27"/>
      <c r="F27"/>
      <c r="G27"/>
    </row>
    <row r="28" spans="2:7" ht="15" x14ac:dyDescent="0.35">
      <c r="B28" s="95">
        <v>20</v>
      </c>
      <c r="C28" s="133">
        <v>4144</v>
      </c>
      <c r="D28"/>
      <c r="E28"/>
      <c r="F28"/>
      <c r="G28"/>
    </row>
    <row r="29" spans="2:7" ht="15" x14ac:dyDescent="0.35">
      <c r="B29" s="95">
        <v>21</v>
      </c>
      <c r="C29" s="133">
        <v>4547</v>
      </c>
      <c r="D29"/>
      <c r="E29"/>
      <c r="F29"/>
      <c r="G29"/>
    </row>
    <row r="30" spans="2:7" ht="15" x14ac:dyDescent="0.35">
      <c r="B30" s="95">
        <v>22</v>
      </c>
      <c r="C30" s="133">
        <v>4880</v>
      </c>
      <c r="D30"/>
      <c r="E30"/>
      <c r="F30"/>
      <c r="G30"/>
    </row>
    <row r="31" spans="2:7" ht="15" x14ac:dyDescent="0.35">
      <c r="B31" s="88" t="s">
        <v>70</v>
      </c>
      <c r="C31" s="132"/>
      <c r="D31"/>
      <c r="E31"/>
      <c r="F31"/>
      <c r="G31"/>
    </row>
    <row r="32" spans="2:7" ht="15" x14ac:dyDescent="0.35">
      <c r="B32" s="95">
        <v>23</v>
      </c>
      <c r="C32" s="133">
        <v>3461.5</v>
      </c>
      <c r="D32"/>
      <c r="E32"/>
      <c r="F32"/>
      <c r="G32"/>
    </row>
    <row r="33" spans="2:7" ht="15" x14ac:dyDescent="0.35">
      <c r="B33" s="95">
        <v>24</v>
      </c>
      <c r="C33" s="133">
        <v>3918.5</v>
      </c>
      <c r="D33"/>
      <c r="E33"/>
      <c r="F33"/>
      <c r="G33"/>
    </row>
    <row r="34" spans="2:7" ht="15" x14ac:dyDescent="0.35">
      <c r="B34" s="95">
        <v>25</v>
      </c>
      <c r="C34" s="133">
        <v>3260.5</v>
      </c>
      <c r="D34"/>
      <c r="E34"/>
      <c r="F34"/>
      <c r="G34"/>
    </row>
    <row r="35" spans="2:7" ht="15" x14ac:dyDescent="0.35">
      <c r="B35" s="95">
        <v>26</v>
      </c>
      <c r="C35" s="133">
        <v>4553.5</v>
      </c>
      <c r="D35"/>
      <c r="E35"/>
      <c r="F35"/>
      <c r="G35"/>
    </row>
    <row r="36" spans="2:7" ht="15" x14ac:dyDescent="0.35">
      <c r="B36" s="88" t="s">
        <v>71</v>
      </c>
      <c r="C36" s="132"/>
      <c r="D36"/>
      <c r="E36"/>
      <c r="F36"/>
      <c r="G36"/>
    </row>
    <row r="37" spans="2:7" ht="15" x14ac:dyDescent="0.35">
      <c r="B37" s="95">
        <v>27</v>
      </c>
      <c r="C37" s="133">
        <v>3003.5</v>
      </c>
      <c r="D37"/>
      <c r="E37"/>
      <c r="F37"/>
      <c r="G37"/>
    </row>
    <row r="38" spans="2:7" ht="15" x14ac:dyDescent="0.35">
      <c r="B38" s="95">
        <v>28</v>
      </c>
      <c r="C38" s="133">
        <v>4386.5</v>
      </c>
      <c r="D38"/>
      <c r="E38"/>
      <c r="F38"/>
      <c r="G38"/>
    </row>
    <row r="39" spans="2:7" ht="15" x14ac:dyDescent="0.35">
      <c r="B39" s="95">
        <v>29</v>
      </c>
      <c r="C39" s="133">
        <v>3092.5</v>
      </c>
      <c r="D39"/>
      <c r="E39"/>
      <c r="F39"/>
      <c r="G39"/>
    </row>
    <row r="40" spans="2:7" ht="15" x14ac:dyDescent="0.35">
      <c r="B40" s="95">
        <v>30</v>
      </c>
      <c r="C40" s="133">
        <v>4542.5</v>
      </c>
      <c r="D40"/>
      <c r="E40"/>
      <c r="F40"/>
      <c r="G40"/>
    </row>
    <row r="41" spans="2:7" ht="15" x14ac:dyDescent="0.35">
      <c r="B41" s="88" t="s">
        <v>72</v>
      </c>
      <c r="C41" s="132"/>
      <c r="D41"/>
      <c r="E41"/>
      <c r="F41"/>
      <c r="G41"/>
    </row>
    <row r="42" spans="2:7" ht="15" x14ac:dyDescent="0.35">
      <c r="B42" s="95">
        <v>31</v>
      </c>
      <c r="C42" s="133">
        <v>3806</v>
      </c>
      <c r="D42"/>
      <c r="E42"/>
      <c r="F42"/>
      <c r="G42"/>
    </row>
    <row r="43" spans="2:7" ht="15" x14ac:dyDescent="0.35">
      <c r="B43" s="95">
        <v>32</v>
      </c>
      <c r="C43" s="133">
        <v>255</v>
      </c>
      <c r="D43"/>
      <c r="E43"/>
      <c r="F43"/>
      <c r="G43"/>
    </row>
    <row r="44" spans="2:7" ht="15" x14ac:dyDescent="0.35">
      <c r="B44" s="95">
        <v>33</v>
      </c>
      <c r="C44" s="133">
        <v>3380</v>
      </c>
      <c r="D44"/>
      <c r="E44"/>
      <c r="F44"/>
      <c r="G44"/>
    </row>
    <row r="45" spans="2:7" ht="15" x14ac:dyDescent="0.35">
      <c r="B45" s="95">
        <v>34</v>
      </c>
      <c r="C45" s="133">
        <v>3274</v>
      </c>
      <c r="D45"/>
      <c r="E45"/>
      <c r="F45"/>
      <c r="G45"/>
    </row>
    <row r="46" spans="2:7" ht="15" x14ac:dyDescent="0.35">
      <c r="B46" s="95">
        <v>35</v>
      </c>
      <c r="C46" s="133">
        <v>3245.5</v>
      </c>
      <c r="D46"/>
      <c r="E46"/>
      <c r="F46"/>
      <c r="G46"/>
    </row>
    <row r="47" spans="2:7" ht="15" x14ac:dyDescent="0.35">
      <c r="B47" s="88" t="s">
        <v>73</v>
      </c>
      <c r="C47" s="132"/>
      <c r="D47"/>
      <c r="E47"/>
      <c r="F47"/>
      <c r="G47"/>
    </row>
    <row r="48" spans="2:7" ht="15" x14ac:dyDescent="0.35">
      <c r="B48" s="95">
        <v>36</v>
      </c>
      <c r="C48" s="133">
        <v>4152</v>
      </c>
      <c r="D48"/>
      <c r="E48"/>
      <c r="F48"/>
      <c r="G48"/>
    </row>
    <row r="49" spans="2:7" ht="15" x14ac:dyDescent="0.35">
      <c r="B49" s="95">
        <v>37</v>
      </c>
      <c r="C49" s="133">
        <v>3174.5</v>
      </c>
      <c r="D49"/>
      <c r="E49"/>
      <c r="F49"/>
      <c r="G49"/>
    </row>
    <row r="50" spans="2:7" ht="15" x14ac:dyDescent="0.35">
      <c r="B50" s="95">
        <v>38</v>
      </c>
      <c r="C50" s="133">
        <v>4497</v>
      </c>
      <c r="D50"/>
      <c r="E50"/>
      <c r="F50"/>
    </row>
    <row r="51" spans="2:7" ht="15" x14ac:dyDescent="0.35">
      <c r="B51" s="95">
        <v>39</v>
      </c>
      <c r="C51" s="133">
        <v>4831</v>
      </c>
      <c r="D51"/>
      <c r="E51"/>
      <c r="F51"/>
    </row>
    <row r="52" spans="2:7" ht="15" x14ac:dyDescent="0.35">
      <c r="B52" s="88" t="s">
        <v>74</v>
      </c>
      <c r="C52" s="132"/>
      <c r="D52"/>
      <c r="E52"/>
      <c r="F52"/>
    </row>
    <row r="53" spans="2:7" ht="15" x14ac:dyDescent="0.35">
      <c r="B53" s="95">
        <v>40</v>
      </c>
      <c r="C53" s="133">
        <v>4657.5</v>
      </c>
      <c r="D53"/>
      <c r="E53"/>
      <c r="F53"/>
    </row>
    <row r="54" spans="2:7" ht="15" x14ac:dyDescent="0.35">
      <c r="B54" s="95">
        <v>41</v>
      </c>
      <c r="C54" s="133">
        <v>4906</v>
      </c>
      <c r="D54"/>
      <c r="E54"/>
      <c r="F54"/>
    </row>
    <row r="55" spans="2:7" ht="15" x14ac:dyDescent="0.35">
      <c r="B55" s="95">
        <v>42</v>
      </c>
      <c r="C55" s="133">
        <v>4279</v>
      </c>
      <c r="D55"/>
      <c r="E55"/>
      <c r="F55"/>
    </row>
    <row r="56" spans="2:7" ht="15" x14ac:dyDescent="0.35">
      <c r="B56" s="95">
        <v>43</v>
      </c>
      <c r="C56" s="133">
        <v>4262</v>
      </c>
      <c r="D56"/>
      <c r="E56"/>
      <c r="F56"/>
    </row>
    <row r="57" spans="2:7" ht="15" x14ac:dyDescent="0.35">
      <c r="B57" s="95">
        <v>44</v>
      </c>
      <c r="C57" s="133">
        <v>2570.5</v>
      </c>
      <c r="D57"/>
      <c r="E57"/>
      <c r="F57"/>
    </row>
    <row r="58" spans="2:7" ht="15" x14ac:dyDescent="0.35">
      <c r="B58" s="88" t="s">
        <v>75</v>
      </c>
      <c r="C58" s="132"/>
      <c r="D58"/>
      <c r="E58"/>
      <c r="F58"/>
    </row>
    <row r="59" spans="2:7" ht="15" x14ac:dyDescent="0.35">
      <c r="B59" s="95">
        <v>45</v>
      </c>
      <c r="C59" s="133">
        <v>4298</v>
      </c>
      <c r="D59"/>
      <c r="E59"/>
      <c r="F59"/>
    </row>
    <row r="60" spans="2:7" ht="15" x14ac:dyDescent="0.35">
      <c r="B60" s="95">
        <v>46</v>
      </c>
      <c r="C60" s="133">
        <v>4236</v>
      </c>
      <c r="D60"/>
      <c r="E60"/>
      <c r="F60"/>
    </row>
    <row r="61" spans="2:7" ht="15" x14ac:dyDescent="0.35">
      <c r="B61" s="95">
        <v>47</v>
      </c>
      <c r="C61" s="133">
        <v>4481.5</v>
      </c>
      <c r="D61"/>
      <c r="E61"/>
      <c r="F61"/>
    </row>
    <row r="62" spans="2:7" ht="15" x14ac:dyDescent="0.35">
      <c r="B62" s="88" t="s">
        <v>36</v>
      </c>
      <c r="C62" s="133">
        <v>185673</v>
      </c>
      <c r="D62"/>
      <c r="E62"/>
      <c r="F62"/>
    </row>
    <row r="63" spans="2:7" ht="15" x14ac:dyDescent="0.35">
      <c r="B63"/>
      <c r="C63"/>
      <c r="D63"/>
      <c r="E63"/>
      <c r="F63"/>
    </row>
    <row r="64" spans="2:7" ht="15" x14ac:dyDescent="0.35">
      <c r="B64"/>
      <c r="C64"/>
      <c r="D64"/>
      <c r="E64"/>
      <c r="F64"/>
    </row>
    <row r="65" spans="2:6" ht="15" x14ac:dyDescent="0.35">
      <c r="B65"/>
      <c r="C65"/>
      <c r="D65"/>
      <c r="E65"/>
      <c r="F65"/>
    </row>
    <row r="66" spans="2:6" ht="15" x14ac:dyDescent="0.35">
      <c r="B66"/>
      <c r="C66"/>
      <c r="D66"/>
      <c r="E66"/>
      <c r="F66"/>
    </row>
    <row r="67" spans="2:6" ht="15" x14ac:dyDescent="0.35">
      <c r="B67"/>
      <c r="C67"/>
      <c r="D67"/>
      <c r="E67"/>
      <c r="F67"/>
    </row>
    <row r="68" spans="2:6" ht="15" x14ac:dyDescent="0.35">
      <c r="B68"/>
      <c r="C68"/>
      <c r="D68"/>
      <c r="E68"/>
      <c r="F68"/>
    </row>
    <row r="69" spans="2:6" ht="15" x14ac:dyDescent="0.35">
      <c r="B69"/>
      <c r="C69"/>
      <c r="D69"/>
      <c r="E69"/>
      <c r="F69"/>
    </row>
    <row r="70" spans="2:6" ht="15" x14ac:dyDescent="0.35">
      <c r="B70"/>
      <c r="C70"/>
      <c r="D70"/>
      <c r="E70"/>
      <c r="F70"/>
    </row>
    <row r="71" spans="2:6" ht="15" x14ac:dyDescent="0.35">
      <c r="B71"/>
      <c r="C71"/>
      <c r="D71"/>
      <c r="E71"/>
      <c r="F71"/>
    </row>
    <row r="72" spans="2:6" ht="15" x14ac:dyDescent="0.35">
      <c r="B72"/>
      <c r="C72"/>
      <c r="D72"/>
      <c r="E72"/>
      <c r="F72"/>
    </row>
    <row r="73" spans="2:6" ht="15" x14ac:dyDescent="0.35">
      <c r="B73"/>
      <c r="C73"/>
      <c r="D73"/>
      <c r="E73"/>
      <c r="F73"/>
    </row>
    <row r="74" spans="2:6" ht="15" x14ac:dyDescent="0.35">
      <c r="B74"/>
      <c r="C74"/>
      <c r="D74"/>
      <c r="E74"/>
      <c r="F74"/>
    </row>
    <row r="75" spans="2:6" ht="15" x14ac:dyDescent="0.35">
      <c r="B75"/>
      <c r="C75"/>
      <c r="D75"/>
      <c r="E75"/>
      <c r="F75"/>
    </row>
    <row r="76" spans="2:6" ht="15" x14ac:dyDescent="0.35">
      <c r="B76"/>
      <c r="C76"/>
      <c r="D76"/>
      <c r="E76"/>
      <c r="F76"/>
    </row>
    <row r="77" spans="2:6" ht="15" x14ac:dyDescent="0.35">
      <c r="B77"/>
      <c r="C77"/>
      <c r="D77"/>
      <c r="E77"/>
      <c r="F77"/>
    </row>
    <row r="78" spans="2:6" ht="15" x14ac:dyDescent="0.35">
      <c r="B78"/>
      <c r="C78"/>
      <c r="D78"/>
      <c r="E78"/>
      <c r="F78"/>
    </row>
    <row r="79" spans="2:6" ht="15" x14ac:dyDescent="0.35">
      <c r="B79"/>
      <c r="C79"/>
      <c r="D79"/>
      <c r="E79"/>
      <c r="F79"/>
    </row>
    <row r="80" spans="2:6" ht="15" x14ac:dyDescent="0.35">
      <c r="B80"/>
      <c r="C80"/>
      <c r="D80"/>
      <c r="E80"/>
      <c r="F80"/>
    </row>
    <row r="81" spans="2:6" ht="15" x14ac:dyDescent="0.35">
      <c r="B81"/>
      <c r="C81"/>
      <c r="D81"/>
      <c r="E81"/>
      <c r="F81"/>
    </row>
    <row r="82" spans="2:6" ht="15" x14ac:dyDescent="0.35">
      <c r="B82"/>
      <c r="C82"/>
      <c r="D82"/>
      <c r="E82"/>
      <c r="F82"/>
    </row>
    <row r="83" spans="2:6" ht="15" x14ac:dyDescent="0.35">
      <c r="B83"/>
      <c r="C83"/>
      <c r="D83"/>
      <c r="E83"/>
      <c r="F83"/>
    </row>
    <row r="84" spans="2:6" ht="15" x14ac:dyDescent="0.35">
      <c r="B84"/>
      <c r="C84"/>
      <c r="D84"/>
      <c r="E84"/>
      <c r="F84"/>
    </row>
    <row r="85" spans="2:6" ht="15" x14ac:dyDescent="0.35">
      <c r="B85"/>
      <c r="C85"/>
      <c r="D85"/>
      <c r="E85"/>
      <c r="F85"/>
    </row>
    <row r="86" spans="2:6" ht="15" x14ac:dyDescent="0.35">
      <c r="B86"/>
      <c r="C86"/>
      <c r="D86"/>
      <c r="E86"/>
      <c r="F86"/>
    </row>
    <row r="87" spans="2:6" ht="15" x14ac:dyDescent="0.35">
      <c r="B87"/>
      <c r="C87"/>
      <c r="D87"/>
      <c r="E87"/>
      <c r="F87"/>
    </row>
    <row r="88" spans="2:6" ht="15" x14ac:dyDescent="0.35">
      <c r="B88"/>
      <c r="C88"/>
      <c r="D88"/>
      <c r="E88"/>
      <c r="F88"/>
    </row>
    <row r="89" spans="2:6" ht="15" x14ac:dyDescent="0.35">
      <c r="B89"/>
      <c r="C89"/>
      <c r="D89"/>
      <c r="E89"/>
      <c r="F89"/>
    </row>
    <row r="90" spans="2:6" ht="15" x14ac:dyDescent="0.35">
      <c r="B90"/>
      <c r="C90"/>
      <c r="D90"/>
      <c r="E90"/>
      <c r="F90"/>
    </row>
    <row r="91" spans="2:6" ht="15" x14ac:dyDescent="0.35">
      <c r="B91"/>
      <c r="C91"/>
      <c r="D91"/>
      <c r="E91"/>
      <c r="F91"/>
    </row>
    <row r="92" spans="2:6" ht="15" x14ac:dyDescent="0.35">
      <c r="B92"/>
      <c r="C92"/>
      <c r="D92"/>
      <c r="E92"/>
      <c r="F92"/>
    </row>
    <row r="93" spans="2:6" ht="15" x14ac:dyDescent="0.35">
      <c r="B93"/>
      <c r="C93"/>
      <c r="D93"/>
      <c r="E93"/>
      <c r="F93"/>
    </row>
    <row r="94" spans="2:6" ht="15" x14ac:dyDescent="0.35">
      <c r="B94"/>
      <c r="C94"/>
      <c r="D94"/>
      <c r="E94"/>
      <c r="F94"/>
    </row>
    <row r="95" spans="2:6" ht="15" x14ac:dyDescent="0.35">
      <c r="B95"/>
      <c r="C95"/>
      <c r="D95"/>
      <c r="E95"/>
      <c r="F95"/>
    </row>
    <row r="96" spans="2:6" ht="15" x14ac:dyDescent="0.35">
      <c r="B96"/>
      <c r="C96"/>
      <c r="D96"/>
      <c r="E96"/>
      <c r="F96"/>
    </row>
    <row r="97" spans="2:6" ht="15" x14ac:dyDescent="0.35">
      <c r="B97"/>
      <c r="C97"/>
      <c r="D97"/>
      <c r="E97"/>
      <c r="F97"/>
    </row>
    <row r="98" spans="2:6" ht="15" x14ac:dyDescent="0.35">
      <c r="B98"/>
      <c r="C98"/>
      <c r="D98"/>
      <c r="E98"/>
      <c r="F98"/>
    </row>
    <row r="99" spans="2:6" ht="15" x14ac:dyDescent="0.35">
      <c r="B99"/>
      <c r="C99"/>
      <c r="D99"/>
      <c r="E99"/>
      <c r="F99"/>
    </row>
    <row r="100" spans="2:6" ht="15" x14ac:dyDescent="0.35">
      <c r="B100"/>
      <c r="C100"/>
      <c r="D100"/>
      <c r="E100"/>
      <c r="F100"/>
    </row>
    <row r="101" spans="2:6" ht="15" x14ac:dyDescent="0.35">
      <c r="B101"/>
      <c r="C101"/>
      <c r="D101"/>
      <c r="E101"/>
      <c r="F101"/>
    </row>
    <row r="102" spans="2:6" ht="15" x14ac:dyDescent="0.35">
      <c r="B102"/>
      <c r="C102"/>
      <c r="D102"/>
      <c r="E102"/>
      <c r="F102"/>
    </row>
    <row r="103" spans="2:6" ht="15" x14ac:dyDescent="0.35">
      <c r="B103"/>
      <c r="C103"/>
      <c r="D103"/>
      <c r="E103"/>
      <c r="F103"/>
    </row>
    <row r="104" spans="2:6" ht="15" x14ac:dyDescent="0.35">
      <c r="B104"/>
      <c r="C104"/>
      <c r="D104"/>
      <c r="E104"/>
      <c r="F104"/>
    </row>
    <row r="105" spans="2:6" ht="15" x14ac:dyDescent="0.35">
      <c r="B105"/>
      <c r="C105"/>
      <c r="D105"/>
      <c r="E105"/>
      <c r="F105"/>
    </row>
    <row r="106" spans="2:6" ht="15" x14ac:dyDescent="0.35">
      <c r="B106"/>
      <c r="C106"/>
      <c r="D106"/>
      <c r="E106"/>
      <c r="F106"/>
    </row>
    <row r="107" spans="2:6" ht="15" x14ac:dyDescent="0.35">
      <c r="B107"/>
      <c r="C107"/>
      <c r="D107"/>
      <c r="E107"/>
      <c r="F107"/>
    </row>
    <row r="108" spans="2:6" ht="15" x14ac:dyDescent="0.35">
      <c r="B108"/>
      <c r="C108"/>
      <c r="D108"/>
      <c r="E108"/>
      <c r="F108"/>
    </row>
    <row r="109" spans="2:6" ht="15" x14ac:dyDescent="0.35">
      <c r="B109"/>
      <c r="C109"/>
      <c r="D109"/>
      <c r="E109"/>
      <c r="F109"/>
    </row>
    <row r="110" spans="2:6" ht="15" x14ac:dyDescent="0.35">
      <c r="B110"/>
      <c r="C110"/>
      <c r="D110"/>
      <c r="E110"/>
      <c r="F110"/>
    </row>
    <row r="111" spans="2:6" ht="15" x14ac:dyDescent="0.35">
      <c r="B111"/>
      <c r="C111"/>
      <c r="D111"/>
      <c r="E111"/>
      <c r="F111"/>
    </row>
    <row r="112" spans="2:6" ht="15" x14ac:dyDescent="0.35">
      <c r="B112"/>
      <c r="C112"/>
      <c r="D112"/>
      <c r="E112"/>
      <c r="F112"/>
    </row>
    <row r="113" spans="2:6" ht="15" x14ac:dyDescent="0.35">
      <c r="B113"/>
      <c r="C113"/>
      <c r="D113"/>
      <c r="E113"/>
      <c r="F113"/>
    </row>
    <row r="114" spans="2:6" ht="15" x14ac:dyDescent="0.35">
      <c r="B114"/>
      <c r="C114"/>
      <c r="D114"/>
      <c r="E114"/>
      <c r="F114"/>
    </row>
    <row r="115" spans="2:6" ht="15" x14ac:dyDescent="0.35">
      <c r="B115"/>
      <c r="C115"/>
      <c r="D115"/>
      <c r="E115"/>
      <c r="F115"/>
    </row>
    <row r="116" spans="2:6" ht="15" x14ac:dyDescent="0.35">
      <c r="B116"/>
      <c r="C116"/>
      <c r="D116"/>
      <c r="E116"/>
      <c r="F116"/>
    </row>
    <row r="117" spans="2:6" ht="15" x14ac:dyDescent="0.35">
      <c r="B117"/>
      <c r="C117"/>
      <c r="D117"/>
      <c r="E117"/>
      <c r="F117"/>
    </row>
    <row r="118" spans="2:6" ht="15" x14ac:dyDescent="0.35">
      <c r="B118"/>
      <c r="C118"/>
      <c r="D118"/>
      <c r="E118"/>
      <c r="F118"/>
    </row>
    <row r="119" spans="2:6" ht="15" x14ac:dyDescent="0.35">
      <c r="B119"/>
      <c r="C119"/>
      <c r="D119"/>
      <c r="E119"/>
      <c r="F119"/>
    </row>
    <row r="120" spans="2:6" ht="15" x14ac:dyDescent="0.35">
      <c r="B120"/>
      <c r="C120"/>
      <c r="D120"/>
      <c r="E120"/>
      <c r="F120"/>
    </row>
    <row r="121" spans="2:6" ht="15" x14ac:dyDescent="0.35">
      <c r="B121"/>
      <c r="C121"/>
      <c r="D121"/>
      <c r="E121"/>
      <c r="F121"/>
    </row>
    <row r="122" spans="2:6" ht="15" x14ac:dyDescent="0.35">
      <c r="B122"/>
      <c r="C122"/>
      <c r="D122"/>
      <c r="E122"/>
      <c r="F122"/>
    </row>
    <row r="123" spans="2:6" ht="15" x14ac:dyDescent="0.35">
      <c r="B123"/>
      <c r="C123"/>
      <c r="D123"/>
      <c r="E123"/>
      <c r="F123"/>
    </row>
    <row r="124" spans="2:6" ht="15" x14ac:dyDescent="0.35">
      <c r="B124"/>
      <c r="C124"/>
      <c r="D124"/>
      <c r="E124"/>
      <c r="F124"/>
    </row>
    <row r="125" spans="2:6" ht="15" x14ac:dyDescent="0.35">
      <c r="B125"/>
      <c r="C125"/>
      <c r="D125"/>
      <c r="E125"/>
      <c r="F125"/>
    </row>
    <row r="126" spans="2:6" ht="15" x14ac:dyDescent="0.35">
      <c r="B126"/>
      <c r="C126"/>
      <c r="D126"/>
      <c r="E126"/>
      <c r="F126"/>
    </row>
    <row r="127" spans="2:6" ht="15" x14ac:dyDescent="0.35">
      <c r="B127"/>
      <c r="C127"/>
      <c r="D127"/>
      <c r="E127"/>
      <c r="F127"/>
    </row>
    <row r="128" spans="2:6" ht="15" x14ac:dyDescent="0.35">
      <c r="B128"/>
      <c r="C128"/>
      <c r="D128"/>
      <c r="E128"/>
      <c r="F128"/>
    </row>
    <row r="129" spans="2:6" ht="15" x14ac:dyDescent="0.35">
      <c r="B129"/>
      <c r="C129"/>
      <c r="D129"/>
      <c r="E129"/>
      <c r="F129"/>
    </row>
    <row r="130" spans="2:6" ht="15" x14ac:dyDescent="0.35">
      <c r="B130"/>
      <c r="C130"/>
      <c r="D130"/>
      <c r="E130"/>
      <c r="F130"/>
    </row>
    <row r="131" spans="2:6" ht="15" x14ac:dyDescent="0.35">
      <c r="B131"/>
      <c r="C131"/>
      <c r="D131"/>
      <c r="E131"/>
      <c r="F131"/>
    </row>
    <row r="132" spans="2:6" ht="15" x14ac:dyDescent="0.35">
      <c r="B132"/>
      <c r="C132"/>
      <c r="D132"/>
      <c r="E132"/>
      <c r="F132"/>
    </row>
    <row r="133" spans="2:6" ht="15" x14ac:dyDescent="0.35">
      <c r="B133"/>
      <c r="C133"/>
      <c r="D133"/>
      <c r="E133"/>
      <c r="F133"/>
    </row>
    <row r="134" spans="2:6" ht="15" x14ac:dyDescent="0.35">
      <c r="B134"/>
      <c r="C134"/>
      <c r="D134"/>
      <c r="E134"/>
      <c r="F134"/>
    </row>
    <row r="135" spans="2:6" ht="15" x14ac:dyDescent="0.35">
      <c r="B135"/>
      <c r="C135"/>
      <c r="D135"/>
      <c r="E135"/>
      <c r="F135"/>
    </row>
    <row r="136" spans="2:6" ht="15" x14ac:dyDescent="0.35">
      <c r="B136"/>
      <c r="C136"/>
      <c r="D136"/>
      <c r="E136"/>
      <c r="F136"/>
    </row>
    <row r="137" spans="2:6" ht="15" x14ac:dyDescent="0.35">
      <c r="B137"/>
      <c r="C137"/>
      <c r="D137"/>
      <c r="E137"/>
      <c r="F137"/>
    </row>
    <row r="138" spans="2:6" ht="15" x14ac:dyDescent="0.35">
      <c r="B138"/>
      <c r="C138"/>
      <c r="D138"/>
      <c r="E138"/>
      <c r="F138"/>
    </row>
    <row r="139" spans="2:6" ht="15" x14ac:dyDescent="0.35">
      <c r="B139"/>
      <c r="C139"/>
      <c r="D139"/>
      <c r="E139"/>
      <c r="F139"/>
    </row>
    <row r="140" spans="2:6" ht="15" x14ac:dyDescent="0.35">
      <c r="B140"/>
      <c r="C140"/>
      <c r="D140"/>
      <c r="E140"/>
      <c r="F140"/>
    </row>
    <row r="141" spans="2:6" ht="15" x14ac:dyDescent="0.35">
      <c r="B141"/>
      <c r="C141"/>
      <c r="D141"/>
      <c r="E141"/>
      <c r="F141"/>
    </row>
    <row r="142" spans="2:6" ht="15" x14ac:dyDescent="0.35">
      <c r="B142"/>
      <c r="C142"/>
      <c r="D142"/>
      <c r="E142"/>
      <c r="F142"/>
    </row>
    <row r="143" spans="2:6" ht="15" x14ac:dyDescent="0.35">
      <c r="B143"/>
      <c r="C143"/>
      <c r="D143"/>
      <c r="E143"/>
      <c r="F143"/>
    </row>
    <row r="144" spans="2:6" ht="15" x14ac:dyDescent="0.35">
      <c r="B144"/>
      <c r="C144"/>
      <c r="D144"/>
      <c r="E144"/>
      <c r="F144"/>
    </row>
    <row r="145" spans="2:6" ht="15" x14ac:dyDescent="0.35">
      <c r="B145"/>
      <c r="C145"/>
      <c r="D145"/>
      <c r="E145"/>
      <c r="F145"/>
    </row>
    <row r="146" spans="2:6" ht="15" x14ac:dyDescent="0.35">
      <c r="B146"/>
      <c r="C146"/>
      <c r="D146"/>
      <c r="E146"/>
      <c r="F146"/>
    </row>
    <row r="147" spans="2:6" ht="15" x14ac:dyDescent="0.35">
      <c r="B147"/>
      <c r="C147"/>
      <c r="D147"/>
      <c r="E147"/>
      <c r="F147"/>
    </row>
    <row r="148" spans="2:6" ht="15" x14ac:dyDescent="0.35">
      <c r="B148"/>
      <c r="C148"/>
      <c r="D148"/>
      <c r="E148"/>
      <c r="F148"/>
    </row>
    <row r="149" spans="2:6" ht="15" x14ac:dyDescent="0.35">
      <c r="B149"/>
      <c r="C149"/>
      <c r="D149"/>
      <c r="E149"/>
      <c r="F149"/>
    </row>
    <row r="150" spans="2:6" ht="15" x14ac:dyDescent="0.35">
      <c r="B150"/>
      <c r="C150"/>
      <c r="D150"/>
      <c r="E150"/>
      <c r="F150"/>
    </row>
    <row r="151" spans="2:6" ht="15" x14ac:dyDescent="0.35">
      <c r="B151"/>
      <c r="C151"/>
      <c r="D151"/>
      <c r="E151"/>
      <c r="F151"/>
    </row>
    <row r="152" spans="2:6" ht="15" x14ac:dyDescent="0.35">
      <c r="B152"/>
      <c r="C152"/>
      <c r="D152"/>
      <c r="E152"/>
      <c r="F152"/>
    </row>
    <row r="153" spans="2:6" ht="15" x14ac:dyDescent="0.35">
      <c r="B153"/>
      <c r="C153"/>
      <c r="D153"/>
      <c r="E153"/>
      <c r="F153"/>
    </row>
    <row r="154" spans="2:6" ht="15" x14ac:dyDescent="0.35">
      <c r="B154"/>
      <c r="C154"/>
      <c r="D154"/>
      <c r="E154"/>
      <c r="F154"/>
    </row>
    <row r="155" spans="2:6" ht="15" x14ac:dyDescent="0.35">
      <c r="B155"/>
      <c r="C155"/>
      <c r="D155"/>
      <c r="E155"/>
      <c r="F155"/>
    </row>
    <row r="156" spans="2:6" ht="15" x14ac:dyDescent="0.35">
      <c r="B156"/>
      <c r="C156"/>
      <c r="D156"/>
      <c r="E156"/>
      <c r="F156"/>
    </row>
    <row r="157" spans="2:6" ht="15" x14ac:dyDescent="0.35">
      <c r="B157"/>
      <c r="C157"/>
      <c r="D157"/>
      <c r="E157"/>
      <c r="F157"/>
    </row>
    <row r="158" spans="2:6" ht="15" x14ac:dyDescent="0.35">
      <c r="B158"/>
      <c r="C158"/>
      <c r="D158"/>
      <c r="E158"/>
      <c r="F158"/>
    </row>
    <row r="159" spans="2:6" ht="15" x14ac:dyDescent="0.35">
      <c r="B159"/>
      <c r="C159"/>
      <c r="D159"/>
      <c r="E159"/>
      <c r="F159"/>
    </row>
    <row r="160" spans="2:6" ht="15" x14ac:dyDescent="0.35">
      <c r="B160"/>
      <c r="C160"/>
      <c r="D160"/>
      <c r="E160"/>
      <c r="F160"/>
    </row>
    <row r="161" spans="2:6" ht="15" x14ac:dyDescent="0.35">
      <c r="B161"/>
      <c r="C161"/>
      <c r="D161"/>
      <c r="E161"/>
      <c r="F161"/>
    </row>
    <row r="162" spans="2:6" ht="15" x14ac:dyDescent="0.35">
      <c r="B162"/>
      <c r="C162"/>
      <c r="D162"/>
      <c r="E162"/>
      <c r="F162"/>
    </row>
    <row r="163" spans="2:6" ht="15" x14ac:dyDescent="0.35">
      <c r="B163"/>
      <c r="C163"/>
      <c r="D163"/>
      <c r="E163"/>
      <c r="F163"/>
    </row>
    <row r="164" spans="2:6" ht="15" x14ac:dyDescent="0.35">
      <c r="B164"/>
      <c r="C164"/>
      <c r="D164"/>
      <c r="E164"/>
      <c r="F164"/>
    </row>
    <row r="165" spans="2:6" ht="15" x14ac:dyDescent="0.35">
      <c r="B165"/>
      <c r="C165"/>
      <c r="D165"/>
      <c r="E165"/>
      <c r="F165"/>
    </row>
    <row r="166" spans="2:6" ht="15" x14ac:dyDescent="0.35">
      <c r="B166"/>
      <c r="C166"/>
      <c r="D166"/>
      <c r="E166"/>
      <c r="F166"/>
    </row>
    <row r="167" spans="2:6" ht="15" x14ac:dyDescent="0.35">
      <c r="B167"/>
      <c r="C167"/>
      <c r="D167"/>
      <c r="E167"/>
      <c r="F167"/>
    </row>
    <row r="168" spans="2:6" ht="15" x14ac:dyDescent="0.35">
      <c r="B168"/>
      <c r="C168"/>
      <c r="D168"/>
      <c r="E168"/>
      <c r="F168"/>
    </row>
    <row r="169" spans="2:6" ht="15" x14ac:dyDescent="0.35">
      <c r="B169"/>
      <c r="C169"/>
      <c r="D169"/>
      <c r="E169"/>
      <c r="F169"/>
    </row>
    <row r="170" spans="2:6" ht="15" x14ac:dyDescent="0.35">
      <c r="B170"/>
      <c r="C170"/>
      <c r="D170"/>
      <c r="E170"/>
      <c r="F170"/>
    </row>
    <row r="171" spans="2:6" ht="15" x14ac:dyDescent="0.35">
      <c r="B171"/>
      <c r="C171"/>
      <c r="D171"/>
      <c r="E171"/>
      <c r="F171"/>
    </row>
    <row r="172" spans="2:6" ht="15" x14ac:dyDescent="0.35">
      <c r="B172"/>
      <c r="C172"/>
      <c r="D172"/>
      <c r="E172"/>
      <c r="F172"/>
    </row>
    <row r="173" spans="2:6" ht="15" x14ac:dyDescent="0.35">
      <c r="B173"/>
      <c r="C173"/>
      <c r="D173"/>
      <c r="E173"/>
      <c r="F173"/>
    </row>
    <row r="174" spans="2:6" ht="15" x14ac:dyDescent="0.35">
      <c r="B174"/>
      <c r="C174"/>
      <c r="D174"/>
      <c r="E174"/>
      <c r="F174"/>
    </row>
    <row r="175" spans="2:6" ht="15" x14ac:dyDescent="0.35">
      <c r="B175"/>
      <c r="C175"/>
      <c r="D175"/>
      <c r="E175"/>
      <c r="F175"/>
    </row>
    <row r="176" spans="2:6" ht="15" x14ac:dyDescent="0.35">
      <c r="B176"/>
      <c r="C176"/>
      <c r="D176"/>
      <c r="E176"/>
      <c r="F176"/>
    </row>
    <row r="177" spans="2:6" ht="15" x14ac:dyDescent="0.35">
      <c r="B177"/>
      <c r="C177"/>
      <c r="D177"/>
      <c r="E177"/>
      <c r="F177"/>
    </row>
    <row r="178" spans="2:6" ht="15" x14ac:dyDescent="0.35">
      <c r="B178"/>
      <c r="C178"/>
      <c r="D178"/>
      <c r="E178"/>
      <c r="F178"/>
    </row>
    <row r="179" spans="2:6" ht="15" x14ac:dyDescent="0.35">
      <c r="B179"/>
      <c r="C179"/>
      <c r="D179"/>
      <c r="E179"/>
      <c r="F179"/>
    </row>
    <row r="180" spans="2:6" ht="15" x14ac:dyDescent="0.35">
      <c r="B180"/>
      <c r="C180"/>
      <c r="D180"/>
      <c r="E180"/>
      <c r="F180"/>
    </row>
    <row r="181" spans="2:6" ht="15" x14ac:dyDescent="0.35">
      <c r="B181"/>
      <c r="C181"/>
      <c r="D181"/>
      <c r="E181"/>
      <c r="F181"/>
    </row>
    <row r="182" spans="2:6" ht="15" x14ac:dyDescent="0.35">
      <c r="B182"/>
      <c r="C182"/>
      <c r="D182"/>
      <c r="E182"/>
      <c r="F182"/>
    </row>
    <row r="183" spans="2:6" ht="15" x14ac:dyDescent="0.35">
      <c r="B183"/>
      <c r="C183"/>
      <c r="D183"/>
      <c r="E183"/>
      <c r="F183"/>
    </row>
    <row r="184" spans="2:6" ht="15" x14ac:dyDescent="0.35">
      <c r="B184"/>
      <c r="C184"/>
      <c r="D184"/>
      <c r="E184"/>
      <c r="F184"/>
    </row>
    <row r="185" spans="2:6" ht="15" x14ac:dyDescent="0.35">
      <c r="B185"/>
      <c r="C185"/>
      <c r="D185"/>
      <c r="E185"/>
      <c r="F185"/>
    </row>
    <row r="186" spans="2:6" ht="15" x14ac:dyDescent="0.35">
      <c r="B186"/>
      <c r="C186"/>
      <c r="D186"/>
      <c r="E186"/>
      <c r="F186"/>
    </row>
    <row r="187" spans="2:6" ht="15" x14ac:dyDescent="0.35">
      <c r="B187"/>
      <c r="C187"/>
      <c r="D187"/>
      <c r="E187"/>
      <c r="F187"/>
    </row>
    <row r="188" spans="2:6" ht="15" x14ac:dyDescent="0.35">
      <c r="B188"/>
      <c r="C188"/>
      <c r="D188"/>
      <c r="E188"/>
      <c r="F188"/>
    </row>
    <row r="189" spans="2:6" ht="15" x14ac:dyDescent="0.35">
      <c r="B189"/>
      <c r="C189"/>
      <c r="D189"/>
      <c r="E189"/>
      <c r="F189"/>
    </row>
    <row r="190" spans="2:6" ht="15" x14ac:dyDescent="0.35">
      <c r="B190"/>
      <c r="C190"/>
      <c r="D190"/>
      <c r="E190"/>
      <c r="F190"/>
    </row>
    <row r="191" spans="2:6" ht="15" x14ac:dyDescent="0.35">
      <c r="B191"/>
      <c r="C191"/>
      <c r="D191"/>
      <c r="E191"/>
      <c r="F191"/>
    </row>
    <row r="192" spans="2:6" ht="15" x14ac:dyDescent="0.35">
      <c r="B192"/>
      <c r="C192"/>
      <c r="D192"/>
      <c r="E192"/>
      <c r="F192"/>
    </row>
    <row r="193" spans="2:6" ht="15" x14ac:dyDescent="0.35">
      <c r="B193"/>
      <c r="C193"/>
      <c r="D193"/>
      <c r="E193"/>
      <c r="F193"/>
    </row>
    <row r="194" spans="2:6" ht="15" x14ac:dyDescent="0.35">
      <c r="B194"/>
      <c r="C194"/>
      <c r="D194"/>
      <c r="E194"/>
      <c r="F194"/>
    </row>
    <row r="195" spans="2:6" ht="15" x14ac:dyDescent="0.35">
      <c r="B195"/>
      <c r="C195"/>
      <c r="D195"/>
      <c r="E195"/>
      <c r="F195"/>
    </row>
    <row r="196" spans="2:6" ht="15" x14ac:dyDescent="0.35">
      <c r="B196"/>
      <c r="C196"/>
      <c r="D196"/>
      <c r="E196"/>
      <c r="F196"/>
    </row>
    <row r="197" spans="2:6" ht="15" x14ac:dyDescent="0.35">
      <c r="B197"/>
      <c r="C197"/>
      <c r="D197"/>
      <c r="E197"/>
      <c r="F197"/>
    </row>
    <row r="198" spans="2:6" ht="15" x14ac:dyDescent="0.35">
      <c r="B198"/>
      <c r="C198"/>
      <c r="D198"/>
      <c r="E198"/>
      <c r="F198"/>
    </row>
    <row r="199" spans="2:6" ht="15" x14ac:dyDescent="0.35">
      <c r="B199"/>
      <c r="C199"/>
      <c r="D199"/>
      <c r="E199"/>
      <c r="F199"/>
    </row>
    <row r="200" spans="2:6" ht="15" x14ac:dyDescent="0.35">
      <c r="B200"/>
      <c r="C200"/>
      <c r="D200"/>
      <c r="E200"/>
      <c r="F200"/>
    </row>
    <row r="201" spans="2:6" ht="15" x14ac:dyDescent="0.35">
      <c r="B201"/>
      <c r="C201"/>
      <c r="D201"/>
      <c r="E201"/>
      <c r="F201"/>
    </row>
    <row r="202" spans="2:6" ht="15" x14ac:dyDescent="0.35">
      <c r="B202"/>
      <c r="C202"/>
      <c r="D202"/>
      <c r="E202"/>
      <c r="F202"/>
    </row>
    <row r="203" spans="2:6" ht="15" x14ac:dyDescent="0.35">
      <c r="B203"/>
      <c r="C203"/>
      <c r="D203"/>
      <c r="E203"/>
      <c r="F203"/>
    </row>
    <row r="204" spans="2:6" ht="15" x14ac:dyDescent="0.35">
      <c r="B204"/>
      <c r="C204"/>
      <c r="D204"/>
      <c r="E204"/>
      <c r="F204"/>
    </row>
    <row r="205" spans="2:6" ht="15" x14ac:dyDescent="0.35">
      <c r="B205"/>
      <c r="C205"/>
      <c r="D205"/>
      <c r="E205"/>
      <c r="F205"/>
    </row>
    <row r="206" spans="2:6" ht="15" x14ac:dyDescent="0.35">
      <c r="B206"/>
      <c r="C206"/>
      <c r="D206"/>
      <c r="E206"/>
      <c r="F206"/>
    </row>
    <row r="207" spans="2:6" ht="15" x14ac:dyDescent="0.35">
      <c r="B207"/>
      <c r="C207"/>
      <c r="D207"/>
      <c r="E207"/>
      <c r="F207"/>
    </row>
    <row r="208" spans="2:6" ht="15" x14ac:dyDescent="0.35">
      <c r="B208"/>
      <c r="C208"/>
      <c r="D208"/>
      <c r="E208"/>
      <c r="F208"/>
    </row>
    <row r="209" spans="2:6" ht="15" x14ac:dyDescent="0.35">
      <c r="B209"/>
      <c r="C209"/>
      <c r="D209"/>
      <c r="E209"/>
      <c r="F209"/>
    </row>
    <row r="210" spans="2:6" ht="15" x14ac:dyDescent="0.35">
      <c r="B210"/>
      <c r="C210"/>
      <c r="D210"/>
      <c r="E210"/>
      <c r="F210"/>
    </row>
    <row r="211" spans="2:6" ht="15" x14ac:dyDescent="0.35">
      <c r="B211"/>
      <c r="C211"/>
      <c r="D211"/>
      <c r="E211"/>
      <c r="F211"/>
    </row>
    <row r="212" spans="2:6" ht="15" x14ac:dyDescent="0.35">
      <c r="B212"/>
      <c r="C212"/>
      <c r="D212"/>
      <c r="E212"/>
      <c r="F212"/>
    </row>
    <row r="213" spans="2:6" ht="15" x14ac:dyDescent="0.35">
      <c r="B213"/>
      <c r="C213"/>
      <c r="D213"/>
      <c r="E213"/>
      <c r="F213"/>
    </row>
    <row r="214" spans="2:6" ht="15" x14ac:dyDescent="0.35">
      <c r="B214"/>
      <c r="C214"/>
      <c r="D214"/>
      <c r="E214"/>
      <c r="F214"/>
    </row>
    <row r="215" spans="2:6" ht="15" x14ac:dyDescent="0.35">
      <c r="B215"/>
      <c r="C215"/>
      <c r="D215"/>
      <c r="E215"/>
      <c r="F215"/>
    </row>
    <row r="216" spans="2:6" ht="15" x14ac:dyDescent="0.35">
      <c r="B216"/>
      <c r="C216"/>
      <c r="D216"/>
      <c r="E216"/>
      <c r="F216"/>
    </row>
    <row r="217" spans="2:6" ht="15" x14ac:dyDescent="0.35">
      <c r="B217"/>
      <c r="C217"/>
      <c r="D217"/>
      <c r="E217"/>
      <c r="F217"/>
    </row>
    <row r="218" spans="2:6" ht="15" x14ac:dyDescent="0.35">
      <c r="B218"/>
      <c r="C218"/>
      <c r="D218"/>
      <c r="E218"/>
      <c r="F218"/>
    </row>
    <row r="219" spans="2:6" ht="15" x14ac:dyDescent="0.35">
      <c r="B219"/>
      <c r="C219"/>
      <c r="D219"/>
      <c r="E219"/>
      <c r="F219"/>
    </row>
    <row r="220" spans="2:6" ht="15" x14ac:dyDescent="0.35">
      <c r="B220"/>
      <c r="C220"/>
      <c r="D220"/>
      <c r="E220"/>
      <c r="F220"/>
    </row>
    <row r="221" spans="2:6" ht="15" x14ac:dyDescent="0.35">
      <c r="B221"/>
      <c r="C221"/>
      <c r="D221"/>
      <c r="E221"/>
      <c r="F221"/>
    </row>
    <row r="222" spans="2:6" ht="15" x14ac:dyDescent="0.35">
      <c r="B222"/>
      <c r="C222"/>
      <c r="D222"/>
      <c r="E222"/>
      <c r="F222"/>
    </row>
    <row r="223" spans="2:6" ht="15" x14ac:dyDescent="0.35">
      <c r="B223"/>
      <c r="C223"/>
      <c r="D223"/>
      <c r="E223"/>
      <c r="F223"/>
    </row>
    <row r="224" spans="2:6" ht="15" x14ac:dyDescent="0.35">
      <c r="B224"/>
      <c r="C224"/>
      <c r="D224"/>
      <c r="E224"/>
      <c r="F224"/>
    </row>
    <row r="225" spans="2:6" ht="15" x14ac:dyDescent="0.35">
      <c r="B225"/>
      <c r="C225"/>
      <c r="D225"/>
      <c r="E225"/>
      <c r="F225"/>
    </row>
    <row r="226" spans="2:6" ht="15" x14ac:dyDescent="0.35">
      <c r="B226"/>
      <c r="C226"/>
      <c r="D226"/>
      <c r="E226"/>
      <c r="F226"/>
    </row>
    <row r="227" spans="2:6" ht="15" x14ac:dyDescent="0.35">
      <c r="B227"/>
      <c r="C227"/>
      <c r="D227"/>
      <c r="E227"/>
      <c r="F227"/>
    </row>
    <row r="228" spans="2:6" ht="15" x14ac:dyDescent="0.35">
      <c r="B228"/>
      <c r="C228"/>
      <c r="D228"/>
      <c r="E228"/>
      <c r="F228"/>
    </row>
    <row r="229" spans="2:6" ht="15" x14ac:dyDescent="0.35">
      <c r="B229"/>
      <c r="C229"/>
      <c r="D229"/>
      <c r="E229"/>
      <c r="F229"/>
    </row>
    <row r="230" spans="2:6" ht="15" x14ac:dyDescent="0.35">
      <c r="B230"/>
      <c r="C230"/>
      <c r="D230"/>
      <c r="E230"/>
      <c r="F230"/>
    </row>
    <row r="231" spans="2:6" ht="15" x14ac:dyDescent="0.35">
      <c r="B231"/>
      <c r="C231"/>
      <c r="D231"/>
      <c r="E231"/>
      <c r="F231"/>
    </row>
    <row r="232" spans="2:6" ht="15" x14ac:dyDescent="0.35">
      <c r="B232"/>
      <c r="C232"/>
      <c r="D232"/>
      <c r="E232"/>
      <c r="F232"/>
    </row>
    <row r="233" spans="2:6" ht="15" x14ac:dyDescent="0.35">
      <c r="B233"/>
      <c r="C233"/>
      <c r="D233"/>
      <c r="E233"/>
      <c r="F233"/>
    </row>
    <row r="234" spans="2:6" ht="15" x14ac:dyDescent="0.35">
      <c r="B234"/>
      <c r="C234"/>
      <c r="D234"/>
      <c r="E234"/>
      <c r="F234"/>
    </row>
    <row r="235" spans="2:6" ht="15" x14ac:dyDescent="0.35">
      <c r="B235"/>
      <c r="C235"/>
      <c r="D235"/>
      <c r="E235"/>
      <c r="F235"/>
    </row>
    <row r="236" spans="2:6" ht="15" x14ac:dyDescent="0.35">
      <c r="B236"/>
      <c r="C236"/>
      <c r="D236"/>
      <c r="E236"/>
      <c r="F236"/>
    </row>
    <row r="237" spans="2:6" ht="15" x14ac:dyDescent="0.35">
      <c r="B237"/>
      <c r="C237"/>
      <c r="D237"/>
      <c r="E237"/>
      <c r="F237"/>
    </row>
    <row r="238" spans="2:6" ht="15" x14ac:dyDescent="0.35">
      <c r="B238"/>
      <c r="C238"/>
      <c r="D238"/>
      <c r="E238"/>
      <c r="F238"/>
    </row>
    <row r="239" spans="2:6" ht="15" x14ac:dyDescent="0.35">
      <c r="B239"/>
      <c r="C239"/>
      <c r="D239"/>
      <c r="E239"/>
      <c r="F239"/>
    </row>
    <row r="240" spans="2:6" ht="15" x14ac:dyDescent="0.35">
      <c r="B240"/>
      <c r="C240"/>
      <c r="D240"/>
      <c r="E240"/>
      <c r="F240"/>
    </row>
    <row r="241" spans="2:6" ht="15" x14ac:dyDescent="0.35">
      <c r="B241"/>
      <c r="C241"/>
      <c r="D241"/>
      <c r="E241"/>
      <c r="F241"/>
    </row>
    <row r="242" spans="2:6" ht="15" x14ac:dyDescent="0.35">
      <c r="B242"/>
      <c r="C242"/>
      <c r="D242"/>
      <c r="E242"/>
      <c r="F242"/>
    </row>
    <row r="243" spans="2:6" ht="15" x14ac:dyDescent="0.35">
      <c r="B243"/>
      <c r="C243"/>
      <c r="D243"/>
      <c r="E243"/>
      <c r="F243"/>
    </row>
    <row r="244" spans="2:6" ht="15" x14ac:dyDescent="0.35">
      <c r="B244"/>
      <c r="C244"/>
      <c r="D244"/>
      <c r="E244"/>
      <c r="F244"/>
    </row>
    <row r="245" spans="2:6" ht="15" x14ac:dyDescent="0.35">
      <c r="B245"/>
      <c r="C245"/>
      <c r="D245"/>
      <c r="E245"/>
      <c r="F245"/>
    </row>
    <row r="246" spans="2:6" ht="15" x14ac:dyDescent="0.35">
      <c r="B246"/>
      <c r="C246"/>
      <c r="D246"/>
      <c r="E246"/>
      <c r="F246"/>
    </row>
    <row r="247" spans="2:6" ht="15" x14ac:dyDescent="0.35">
      <c r="B247"/>
      <c r="C247"/>
      <c r="D247"/>
      <c r="E247"/>
      <c r="F247"/>
    </row>
    <row r="248" spans="2:6" ht="15" x14ac:dyDescent="0.35">
      <c r="B248"/>
      <c r="C248"/>
      <c r="D248"/>
      <c r="E248"/>
      <c r="F248"/>
    </row>
    <row r="249" spans="2:6" ht="15" x14ac:dyDescent="0.35">
      <c r="B249"/>
      <c r="C249"/>
      <c r="D249"/>
      <c r="E249"/>
      <c r="F249"/>
    </row>
    <row r="250" spans="2:6" ht="15" x14ac:dyDescent="0.35">
      <c r="B250"/>
      <c r="C250"/>
      <c r="D250"/>
      <c r="E250"/>
      <c r="F250"/>
    </row>
    <row r="251" spans="2:6" ht="15" x14ac:dyDescent="0.35">
      <c r="B251"/>
      <c r="C251"/>
      <c r="D251"/>
      <c r="E251"/>
      <c r="F251"/>
    </row>
    <row r="252" spans="2:6" ht="15" x14ac:dyDescent="0.35">
      <c r="B252"/>
      <c r="C252"/>
      <c r="D252"/>
      <c r="E252"/>
      <c r="F252"/>
    </row>
    <row r="253" spans="2:6" ht="15" x14ac:dyDescent="0.35">
      <c r="B253"/>
      <c r="C253"/>
      <c r="D253"/>
      <c r="E253"/>
      <c r="F253"/>
    </row>
    <row r="254" spans="2:6" ht="15" x14ac:dyDescent="0.35">
      <c r="B254"/>
      <c r="C254"/>
      <c r="D254"/>
      <c r="E254"/>
      <c r="F254"/>
    </row>
    <row r="255" spans="2:6" ht="15" x14ac:dyDescent="0.35">
      <c r="B255"/>
      <c r="C255"/>
      <c r="D255"/>
      <c r="E255"/>
      <c r="F255"/>
    </row>
    <row r="256" spans="2:6" ht="15" x14ac:dyDescent="0.35">
      <c r="B256"/>
      <c r="C256"/>
      <c r="D256"/>
      <c r="E256"/>
      <c r="F256"/>
    </row>
    <row r="257" spans="2:6" ht="15" x14ac:dyDescent="0.35">
      <c r="B257"/>
      <c r="C257"/>
      <c r="D257"/>
      <c r="E257"/>
      <c r="F257"/>
    </row>
    <row r="258" spans="2:6" ht="15" x14ac:dyDescent="0.35">
      <c r="B258"/>
      <c r="C258"/>
      <c r="D258"/>
      <c r="E258"/>
      <c r="F258"/>
    </row>
    <row r="259" spans="2:6" ht="15" x14ac:dyDescent="0.35">
      <c r="B259"/>
      <c r="C259"/>
      <c r="D259"/>
      <c r="E259"/>
      <c r="F259"/>
    </row>
    <row r="260" spans="2:6" ht="15" x14ac:dyDescent="0.35">
      <c r="B260"/>
      <c r="C260"/>
      <c r="D260"/>
      <c r="E260"/>
      <c r="F260"/>
    </row>
    <row r="261" spans="2:6" ht="15" x14ac:dyDescent="0.35">
      <c r="B261"/>
      <c r="C261"/>
      <c r="D261"/>
      <c r="E261"/>
      <c r="F261"/>
    </row>
    <row r="262" spans="2:6" ht="15" x14ac:dyDescent="0.35">
      <c r="B262"/>
      <c r="C262"/>
      <c r="D262"/>
      <c r="E262"/>
      <c r="F262"/>
    </row>
    <row r="263" spans="2:6" ht="15" x14ac:dyDescent="0.35">
      <c r="B263"/>
      <c r="C263"/>
      <c r="D263"/>
      <c r="E263"/>
      <c r="F263"/>
    </row>
    <row r="264" spans="2:6" ht="15" x14ac:dyDescent="0.35">
      <c r="B264"/>
      <c r="C264"/>
      <c r="D264"/>
      <c r="E264"/>
      <c r="F264"/>
    </row>
    <row r="265" spans="2:6" ht="15" x14ac:dyDescent="0.35">
      <c r="B265"/>
      <c r="C265"/>
      <c r="D265"/>
      <c r="E265"/>
      <c r="F265"/>
    </row>
    <row r="266" spans="2:6" ht="15" x14ac:dyDescent="0.35">
      <c r="B266"/>
      <c r="C266"/>
      <c r="D266"/>
      <c r="E266"/>
      <c r="F266"/>
    </row>
    <row r="267" spans="2:6" ht="15" x14ac:dyDescent="0.35">
      <c r="B267"/>
      <c r="C267"/>
      <c r="D267"/>
      <c r="E267"/>
      <c r="F267"/>
    </row>
    <row r="268" spans="2:6" ht="15" x14ac:dyDescent="0.35">
      <c r="B268"/>
      <c r="C268"/>
      <c r="D268"/>
      <c r="E268"/>
      <c r="F268"/>
    </row>
    <row r="269" spans="2:6" ht="15" x14ac:dyDescent="0.35">
      <c r="B269"/>
      <c r="C269"/>
      <c r="D269"/>
      <c r="E269"/>
      <c r="F269"/>
    </row>
    <row r="270" spans="2:6" ht="15" x14ac:dyDescent="0.35">
      <c r="B270"/>
      <c r="C270"/>
      <c r="D270"/>
      <c r="E270"/>
      <c r="F270"/>
    </row>
    <row r="271" spans="2:6" ht="15" x14ac:dyDescent="0.35">
      <c r="B271"/>
      <c r="C271"/>
      <c r="D271"/>
      <c r="E271"/>
      <c r="F271"/>
    </row>
    <row r="272" spans="2:6" ht="15" x14ac:dyDescent="0.35">
      <c r="B272"/>
      <c r="C272"/>
      <c r="D272"/>
      <c r="E272"/>
      <c r="F272"/>
    </row>
    <row r="273" spans="2:6" ht="15" x14ac:dyDescent="0.35">
      <c r="B273"/>
      <c r="C273"/>
      <c r="D273"/>
      <c r="E273"/>
      <c r="F273"/>
    </row>
    <row r="274" spans="2:6" ht="15" x14ac:dyDescent="0.35">
      <c r="B274"/>
      <c r="C274"/>
      <c r="D274"/>
      <c r="E274"/>
      <c r="F274"/>
    </row>
    <row r="275" spans="2:6" ht="15" x14ac:dyDescent="0.35">
      <c r="B275"/>
      <c r="C275"/>
      <c r="D275"/>
      <c r="E275"/>
      <c r="F275"/>
    </row>
    <row r="276" spans="2:6" ht="15" x14ac:dyDescent="0.35">
      <c r="B276"/>
      <c r="C276"/>
      <c r="D276"/>
      <c r="E276"/>
      <c r="F276"/>
    </row>
    <row r="277" spans="2:6" ht="15" x14ac:dyDescent="0.35">
      <c r="B277"/>
      <c r="C277"/>
      <c r="D277"/>
      <c r="E277"/>
      <c r="F277"/>
    </row>
    <row r="278" spans="2:6" ht="15" x14ac:dyDescent="0.35">
      <c r="B278"/>
      <c r="C278"/>
      <c r="D278"/>
      <c r="E278"/>
      <c r="F278"/>
    </row>
    <row r="279" spans="2:6" ht="15" x14ac:dyDescent="0.35">
      <c r="B279"/>
      <c r="C279"/>
      <c r="D279"/>
      <c r="E279"/>
      <c r="F279"/>
    </row>
    <row r="280" spans="2:6" ht="15" x14ac:dyDescent="0.35">
      <c r="B280"/>
      <c r="C280"/>
      <c r="D280"/>
      <c r="E280"/>
      <c r="F280"/>
    </row>
    <row r="281" spans="2:6" ht="15" x14ac:dyDescent="0.35">
      <c r="B281"/>
      <c r="C281"/>
      <c r="D281"/>
      <c r="E281"/>
      <c r="F281"/>
    </row>
    <row r="282" spans="2:6" ht="15" x14ac:dyDescent="0.35">
      <c r="B282"/>
      <c r="C282"/>
      <c r="D282"/>
      <c r="E282"/>
      <c r="F282"/>
    </row>
    <row r="283" spans="2:6" ht="15" x14ac:dyDescent="0.35">
      <c r="B283"/>
      <c r="C283"/>
      <c r="D283"/>
      <c r="E283"/>
      <c r="F283"/>
    </row>
    <row r="284" spans="2:6" ht="15" x14ac:dyDescent="0.35">
      <c r="B284"/>
      <c r="C284"/>
      <c r="D284"/>
      <c r="E284"/>
      <c r="F284"/>
    </row>
    <row r="285" spans="2:6" ht="15" x14ac:dyDescent="0.35">
      <c r="B285"/>
      <c r="C285"/>
      <c r="D285"/>
      <c r="E285"/>
      <c r="F285"/>
    </row>
    <row r="286" spans="2:6" ht="15" x14ac:dyDescent="0.35">
      <c r="B286"/>
      <c r="C286"/>
      <c r="D286"/>
      <c r="E286"/>
      <c r="F286"/>
    </row>
    <row r="287" spans="2:6" ht="15" x14ac:dyDescent="0.35">
      <c r="B287"/>
      <c r="C287"/>
      <c r="D287"/>
      <c r="E287"/>
      <c r="F287"/>
    </row>
    <row r="288" spans="2:6" ht="15" x14ac:dyDescent="0.35">
      <c r="B288"/>
      <c r="C288"/>
      <c r="D288"/>
      <c r="E288"/>
      <c r="F288"/>
    </row>
    <row r="289" spans="2:6" ht="15" x14ac:dyDescent="0.35">
      <c r="B289"/>
      <c r="C289"/>
      <c r="D289"/>
      <c r="E289"/>
      <c r="F289"/>
    </row>
    <row r="290" spans="2:6" ht="15" x14ac:dyDescent="0.35">
      <c r="B290"/>
      <c r="C290"/>
      <c r="D290"/>
      <c r="E290"/>
      <c r="F290"/>
    </row>
    <row r="291" spans="2:6" ht="15" x14ac:dyDescent="0.35">
      <c r="B291"/>
      <c r="C291"/>
      <c r="D291"/>
      <c r="E291"/>
      <c r="F291"/>
    </row>
    <row r="292" spans="2:6" ht="15" x14ac:dyDescent="0.35">
      <c r="B292"/>
      <c r="C292"/>
      <c r="D292"/>
      <c r="E292"/>
      <c r="F292"/>
    </row>
    <row r="293" spans="2:6" ht="15" x14ac:dyDescent="0.35">
      <c r="B293"/>
      <c r="C293"/>
      <c r="D293"/>
      <c r="E293"/>
      <c r="F293"/>
    </row>
    <row r="294" spans="2:6" ht="15" x14ac:dyDescent="0.35">
      <c r="B294"/>
      <c r="C294"/>
      <c r="D294"/>
      <c r="E294"/>
      <c r="F294"/>
    </row>
    <row r="295" spans="2:6" ht="15" x14ac:dyDescent="0.35">
      <c r="B295"/>
      <c r="C295"/>
      <c r="D295"/>
      <c r="E295"/>
      <c r="F295"/>
    </row>
    <row r="296" spans="2:6" ht="15" x14ac:dyDescent="0.35">
      <c r="B296"/>
      <c r="C296"/>
      <c r="D296"/>
      <c r="E296"/>
      <c r="F296"/>
    </row>
    <row r="297" spans="2:6" ht="15" x14ac:dyDescent="0.35">
      <c r="B297"/>
      <c r="C297"/>
      <c r="D297"/>
      <c r="E297"/>
      <c r="F297"/>
    </row>
    <row r="298" spans="2:6" ht="15" x14ac:dyDescent="0.35">
      <c r="B298"/>
      <c r="C298"/>
      <c r="D298"/>
      <c r="E298"/>
      <c r="F298"/>
    </row>
    <row r="299" spans="2:6" ht="15" x14ac:dyDescent="0.35">
      <c r="B299"/>
      <c r="C299"/>
      <c r="D299"/>
      <c r="E299"/>
      <c r="F299"/>
    </row>
    <row r="300" spans="2:6" ht="15" x14ac:dyDescent="0.35">
      <c r="B300"/>
      <c r="C300"/>
      <c r="D300"/>
      <c r="E300"/>
      <c r="F300"/>
    </row>
    <row r="301" spans="2:6" ht="15" x14ac:dyDescent="0.35">
      <c r="B301"/>
      <c r="C301"/>
      <c r="D301"/>
      <c r="E301"/>
      <c r="F301"/>
    </row>
    <row r="302" spans="2:6" ht="15" x14ac:dyDescent="0.35">
      <c r="B302"/>
      <c r="C302"/>
      <c r="D302"/>
      <c r="E302"/>
      <c r="F302"/>
    </row>
    <row r="303" spans="2:6" ht="15" x14ac:dyDescent="0.35">
      <c r="B303"/>
      <c r="C303"/>
      <c r="D303"/>
      <c r="E303"/>
      <c r="F303"/>
    </row>
    <row r="304" spans="2:6" ht="15" x14ac:dyDescent="0.35">
      <c r="B304"/>
      <c r="C304"/>
      <c r="D304"/>
      <c r="E304"/>
      <c r="F304"/>
    </row>
    <row r="305" spans="2:6" ht="15" x14ac:dyDescent="0.35">
      <c r="B305"/>
      <c r="C305"/>
      <c r="D305"/>
      <c r="E305"/>
      <c r="F305"/>
    </row>
    <row r="306" spans="2:6" ht="15" x14ac:dyDescent="0.35">
      <c r="B306"/>
      <c r="C306"/>
      <c r="D306"/>
      <c r="E306"/>
      <c r="F306"/>
    </row>
    <row r="307" spans="2:6" ht="15" x14ac:dyDescent="0.35">
      <c r="B307"/>
      <c r="C307"/>
      <c r="D307"/>
      <c r="E307"/>
      <c r="F307"/>
    </row>
    <row r="308" spans="2:6" ht="15" x14ac:dyDescent="0.35">
      <c r="B308"/>
      <c r="C308"/>
      <c r="D308"/>
      <c r="E308"/>
      <c r="F308"/>
    </row>
    <row r="309" spans="2:6" ht="15" x14ac:dyDescent="0.35">
      <c r="B309"/>
      <c r="C309"/>
      <c r="D309"/>
      <c r="E309"/>
      <c r="F309"/>
    </row>
    <row r="310" spans="2:6" ht="15" x14ac:dyDescent="0.35">
      <c r="B310"/>
      <c r="C310"/>
      <c r="D310"/>
      <c r="E310"/>
      <c r="F310"/>
    </row>
    <row r="311" spans="2:6" ht="15" x14ac:dyDescent="0.35">
      <c r="B311"/>
      <c r="C311"/>
      <c r="D311"/>
      <c r="E311"/>
      <c r="F311"/>
    </row>
    <row r="312" spans="2:6" ht="15" x14ac:dyDescent="0.35">
      <c r="B312"/>
      <c r="C312"/>
      <c r="D312"/>
      <c r="E312"/>
      <c r="F312"/>
    </row>
    <row r="313" spans="2:6" ht="15" x14ac:dyDescent="0.35">
      <c r="B313"/>
      <c r="C313"/>
      <c r="D313"/>
      <c r="E313"/>
      <c r="F313"/>
    </row>
    <row r="314" spans="2:6" ht="15" x14ac:dyDescent="0.35">
      <c r="B314"/>
      <c r="C314"/>
      <c r="D314"/>
      <c r="E314"/>
      <c r="F314"/>
    </row>
    <row r="315" spans="2:6" ht="15" x14ac:dyDescent="0.35">
      <c r="B315"/>
      <c r="C315"/>
      <c r="D315"/>
      <c r="E315"/>
      <c r="F315"/>
    </row>
    <row r="316" spans="2:6" ht="15" x14ac:dyDescent="0.35">
      <c r="B316"/>
      <c r="C316"/>
      <c r="D316"/>
      <c r="E316"/>
      <c r="F316"/>
    </row>
    <row r="317" spans="2:6" ht="15" x14ac:dyDescent="0.35">
      <c r="B317"/>
      <c r="C317"/>
      <c r="D317"/>
      <c r="E317"/>
      <c r="F317"/>
    </row>
    <row r="318" spans="2:6" ht="15" x14ac:dyDescent="0.35">
      <c r="B318"/>
      <c r="C318"/>
      <c r="D318"/>
      <c r="E318"/>
      <c r="F318"/>
    </row>
    <row r="319" spans="2:6" ht="15" x14ac:dyDescent="0.35">
      <c r="B319"/>
      <c r="C319"/>
      <c r="D319"/>
      <c r="E319"/>
      <c r="F319"/>
    </row>
    <row r="320" spans="2:6" ht="15" x14ac:dyDescent="0.35">
      <c r="B320"/>
      <c r="C320"/>
      <c r="D320"/>
      <c r="E320"/>
      <c r="F320"/>
    </row>
    <row r="321" spans="2:6" ht="15" x14ac:dyDescent="0.35">
      <c r="B321"/>
      <c r="C321"/>
      <c r="D321"/>
      <c r="E321"/>
      <c r="F321"/>
    </row>
    <row r="322" spans="2:6" ht="15" x14ac:dyDescent="0.35">
      <c r="B322"/>
      <c r="C322"/>
      <c r="D322"/>
      <c r="E322"/>
      <c r="F322"/>
    </row>
    <row r="323" spans="2:6" ht="15" x14ac:dyDescent="0.35">
      <c r="B323"/>
      <c r="C323"/>
      <c r="D323"/>
      <c r="E323"/>
      <c r="F323"/>
    </row>
    <row r="324" spans="2:6" ht="15" x14ac:dyDescent="0.35">
      <c r="B324"/>
      <c r="C324"/>
      <c r="D324"/>
      <c r="E324"/>
      <c r="F324"/>
    </row>
    <row r="325" spans="2:6" ht="15" x14ac:dyDescent="0.35">
      <c r="B325"/>
      <c r="C325"/>
      <c r="D325"/>
      <c r="E325"/>
      <c r="F325"/>
    </row>
    <row r="326" spans="2:6" ht="15" x14ac:dyDescent="0.35">
      <c r="B326"/>
      <c r="C326"/>
      <c r="D326"/>
      <c r="E326"/>
      <c r="F326"/>
    </row>
    <row r="327" spans="2:6" ht="15" x14ac:dyDescent="0.35">
      <c r="B327"/>
      <c r="C327"/>
      <c r="D327"/>
      <c r="E327"/>
      <c r="F327"/>
    </row>
    <row r="328" spans="2:6" ht="15" x14ac:dyDescent="0.35">
      <c r="B328"/>
      <c r="C328"/>
      <c r="D328"/>
      <c r="E328"/>
      <c r="F328"/>
    </row>
    <row r="329" spans="2:6" ht="15" x14ac:dyDescent="0.35">
      <c r="B329"/>
      <c r="C329"/>
      <c r="D329"/>
      <c r="E329"/>
      <c r="F329"/>
    </row>
    <row r="330" spans="2:6" ht="15" x14ac:dyDescent="0.35">
      <c r="B330"/>
      <c r="C330"/>
      <c r="D330"/>
      <c r="E330"/>
      <c r="F330"/>
    </row>
    <row r="331" spans="2:6" ht="15" x14ac:dyDescent="0.35">
      <c r="B331"/>
      <c r="C331"/>
      <c r="D331"/>
      <c r="E331"/>
      <c r="F331"/>
    </row>
    <row r="332" spans="2:6" ht="15" x14ac:dyDescent="0.35">
      <c r="B332"/>
      <c r="C332"/>
      <c r="D332"/>
      <c r="E332"/>
      <c r="F332"/>
    </row>
    <row r="333" spans="2:6" ht="15" x14ac:dyDescent="0.35">
      <c r="B333"/>
      <c r="C333"/>
      <c r="D333"/>
      <c r="E333"/>
      <c r="F333"/>
    </row>
    <row r="334" spans="2:6" ht="15" x14ac:dyDescent="0.35">
      <c r="B334"/>
      <c r="C334"/>
      <c r="D334"/>
      <c r="E334"/>
      <c r="F334"/>
    </row>
    <row r="335" spans="2:6" ht="15" x14ac:dyDescent="0.35">
      <c r="B335"/>
      <c r="C335"/>
      <c r="D335"/>
      <c r="E335"/>
      <c r="F335"/>
    </row>
    <row r="336" spans="2:6" ht="15" x14ac:dyDescent="0.35">
      <c r="B336"/>
      <c r="C336"/>
      <c r="D336"/>
      <c r="E336"/>
      <c r="F336"/>
    </row>
    <row r="337" spans="2:6" ht="15" x14ac:dyDescent="0.35">
      <c r="B337"/>
      <c r="C337"/>
      <c r="D337"/>
      <c r="E337"/>
      <c r="F337"/>
    </row>
    <row r="338" spans="2:6" ht="15" x14ac:dyDescent="0.35">
      <c r="B338"/>
      <c r="C338"/>
      <c r="D338"/>
      <c r="E338"/>
      <c r="F338"/>
    </row>
    <row r="339" spans="2:6" ht="15" x14ac:dyDescent="0.35">
      <c r="B339"/>
      <c r="C339"/>
      <c r="D339"/>
      <c r="E339"/>
      <c r="F339"/>
    </row>
    <row r="340" spans="2:6" ht="15" x14ac:dyDescent="0.35">
      <c r="B340"/>
      <c r="C340"/>
      <c r="D340"/>
      <c r="E340"/>
      <c r="F340"/>
    </row>
    <row r="341" spans="2:6" ht="15" x14ac:dyDescent="0.35">
      <c r="B341"/>
      <c r="C341"/>
      <c r="D341"/>
      <c r="E341"/>
      <c r="F341"/>
    </row>
    <row r="342" spans="2:6" ht="15" x14ac:dyDescent="0.35">
      <c r="B342"/>
      <c r="C342"/>
      <c r="D342"/>
      <c r="E342"/>
      <c r="F342"/>
    </row>
    <row r="343" spans="2:6" ht="15" x14ac:dyDescent="0.35">
      <c r="B343"/>
      <c r="C343"/>
      <c r="D343"/>
      <c r="E343"/>
      <c r="F343"/>
    </row>
    <row r="344" spans="2:6" ht="15" x14ac:dyDescent="0.35">
      <c r="B344"/>
      <c r="C344"/>
      <c r="D344"/>
      <c r="E344"/>
      <c r="F344"/>
    </row>
    <row r="345" spans="2:6" ht="15" x14ac:dyDescent="0.35">
      <c r="B345"/>
      <c r="C345"/>
      <c r="D345"/>
      <c r="E345"/>
      <c r="F345"/>
    </row>
    <row r="346" spans="2:6" ht="15" x14ac:dyDescent="0.35">
      <c r="B346"/>
      <c r="C346"/>
      <c r="D346"/>
      <c r="E346"/>
      <c r="F346"/>
    </row>
    <row r="347" spans="2:6" ht="15" x14ac:dyDescent="0.35">
      <c r="B347"/>
      <c r="C347"/>
      <c r="D347"/>
      <c r="E347"/>
      <c r="F347"/>
    </row>
    <row r="348" spans="2:6" ht="15" x14ac:dyDescent="0.35">
      <c r="B348"/>
      <c r="C348"/>
      <c r="D348"/>
      <c r="E348"/>
      <c r="F348"/>
    </row>
    <row r="349" spans="2:6" ht="15" x14ac:dyDescent="0.35">
      <c r="B349"/>
      <c r="C349"/>
      <c r="D349"/>
      <c r="E349"/>
      <c r="F349"/>
    </row>
    <row r="350" spans="2:6" ht="15" x14ac:dyDescent="0.35">
      <c r="B350"/>
      <c r="C350"/>
      <c r="D350"/>
      <c r="E350"/>
      <c r="F350"/>
    </row>
    <row r="351" spans="2:6" ht="15" x14ac:dyDescent="0.35">
      <c r="B351"/>
      <c r="C351"/>
      <c r="D351"/>
      <c r="E351"/>
      <c r="F351"/>
    </row>
    <row r="352" spans="2:6" ht="15" x14ac:dyDescent="0.35">
      <c r="B352"/>
      <c r="C352"/>
      <c r="D352"/>
      <c r="E352"/>
      <c r="F352"/>
    </row>
    <row r="353" spans="2:6" ht="15" x14ac:dyDescent="0.35">
      <c r="B353"/>
      <c r="C353"/>
      <c r="D353"/>
      <c r="E353"/>
      <c r="F353"/>
    </row>
    <row r="354" spans="2:6" ht="15" x14ac:dyDescent="0.35">
      <c r="B354"/>
      <c r="C354"/>
      <c r="D354"/>
      <c r="E354"/>
      <c r="F354"/>
    </row>
    <row r="355" spans="2:6" ht="15" x14ac:dyDescent="0.35">
      <c r="B355"/>
      <c r="C355"/>
      <c r="D355"/>
      <c r="E355"/>
      <c r="F355"/>
    </row>
    <row r="356" spans="2:6" ht="15" x14ac:dyDescent="0.35">
      <c r="B356"/>
      <c r="C356"/>
      <c r="D356"/>
      <c r="E356"/>
      <c r="F356"/>
    </row>
    <row r="357" spans="2:6" ht="15" x14ac:dyDescent="0.35">
      <c r="B357"/>
      <c r="C357"/>
      <c r="D357"/>
      <c r="E357"/>
      <c r="F357"/>
    </row>
    <row r="358" spans="2:6" ht="15" x14ac:dyDescent="0.35">
      <c r="B358"/>
      <c r="C358"/>
      <c r="D358"/>
      <c r="E358"/>
      <c r="F358"/>
    </row>
    <row r="359" spans="2:6" ht="15" x14ac:dyDescent="0.35">
      <c r="B359"/>
      <c r="C359"/>
      <c r="D359"/>
      <c r="E359"/>
      <c r="F359"/>
    </row>
    <row r="360" spans="2:6" ht="15" x14ac:dyDescent="0.35">
      <c r="B360"/>
      <c r="C360"/>
      <c r="D360"/>
      <c r="E360"/>
      <c r="F360"/>
    </row>
    <row r="361" spans="2:6" ht="15" x14ac:dyDescent="0.35">
      <c r="B361"/>
      <c r="C361"/>
      <c r="D361"/>
      <c r="E361"/>
      <c r="F361"/>
    </row>
    <row r="362" spans="2:6" ht="15" x14ac:dyDescent="0.35">
      <c r="B362"/>
      <c r="C362"/>
      <c r="D362"/>
      <c r="E362"/>
      <c r="F362"/>
    </row>
    <row r="363" spans="2:6" ht="15" x14ac:dyDescent="0.35">
      <c r="B363"/>
      <c r="C363"/>
      <c r="D363"/>
      <c r="E363"/>
      <c r="F363"/>
    </row>
    <row r="364" spans="2:6" ht="15" x14ac:dyDescent="0.35">
      <c r="B364"/>
      <c r="C364"/>
      <c r="D364"/>
      <c r="E364"/>
      <c r="F364"/>
    </row>
    <row r="365" spans="2:6" ht="15" x14ac:dyDescent="0.35">
      <c r="B365"/>
      <c r="C365"/>
      <c r="D365"/>
      <c r="E365"/>
      <c r="F365"/>
    </row>
    <row r="366" spans="2:6" ht="15" x14ac:dyDescent="0.35">
      <c r="B366"/>
      <c r="C366"/>
      <c r="D366"/>
      <c r="E366"/>
      <c r="F366"/>
    </row>
    <row r="367" spans="2:6" ht="15" x14ac:dyDescent="0.35">
      <c r="B367"/>
      <c r="C367"/>
      <c r="D367"/>
      <c r="E367"/>
      <c r="F367"/>
    </row>
    <row r="368" spans="2:6" ht="15" x14ac:dyDescent="0.35">
      <c r="B368"/>
      <c r="C368"/>
      <c r="D368"/>
      <c r="E368"/>
      <c r="F368"/>
    </row>
    <row r="369" spans="2:6" ht="15" x14ac:dyDescent="0.35">
      <c r="B369"/>
      <c r="C369"/>
      <c r="D369"/>
      <c r="E369"/>
      <c r="F369"/>
    </row>
    <row r="370" spans="2:6" ht="15" x14ac:dyDescent="0.35">
      <c r="B370"/>
      <c r="C370"/>
      <c r="D370"/>
      <c r="E370"/>
      <c r="F370"/>
    </row>
    <row r="371" spans="2:6" ht="15" x14ac:dyDescent="0.35">
      <c r="B371"/>
      <c r="C371"/>
      <c r="D371"/>
      <c r="E371"/>
      <c r="F371"/>
    </row>
    <row r="372" spans="2:6" ht="15" x14ac:dyDescent="0.35">
      <c r="B372"/>
      <c r="C372"/>
      <c r="D372"/>
      <c r="E372"/>
      <c r="F372"/>
    </row>
    <row r="373" spans="2:6" ht="15" x14ac:dyDescent="0.35">
      <c r="B373"/>
      <c r="C373"/>
      <c r="D373"/>
      <c r="E373"/>
      <c r="F373"/>
    </row>
    <row r="374" spans="2:6" ht="15" x14ac:dyDescent="0.35">
      <c r="B374"/>
      <c r="C374"/>
      <c r="D374"/>
      <c r="E374"/>
      <c r="F374"/>
    </row>
    <row r="375" spans="2:6" ht="15" x14ac:dyDescent="0.35">
      <c r="B375"/>
      <c r="C375"/>
      <c r="D375"/>
      <c r="E375"/>
      <c r="F375"/>
    </row>
    <row r="376" spans="2:6" ht="15" x14ac:dyDescent="0.35">
      <c r="B376"/>
      <c r="C376"/>
      <c r="D376"/>
      <c r="E376"/>
      <c r="F376"/>
    </row>
    <row r="377" spans="2:6" ht="15" x14ac:dyDescent="0.35">
      <c r="B377"/>
      <c r="C377"/>
      <c r="D377"/>
      <c r="E377"/>
      <c r="F377"/>
    </row>
    <row r="378" spans="2:6" ht="15" x14ac:dyDescent="0.35">
      <c r="B378"/>
      <c r="C378"/>
      <c r="D378"/>
      <c r="E378"/>
      <c r="F378"/>
    </row>
    <row r="379" spans="2:6" ht="15" x14ac:dyDescent="0.35">
      <c r="B379"/>
      <c r="C379"/>
      <c r="D379"/>
      <c r="E379"/>
      <c r="F379"/>
    </row>
    <row r="380" spans="2:6" ht="15" x14ac:dyDescent="0.35">
      <c r="B380"/>
      <c r="C380"/>
      <c r="D380"/>
      <c r="E380"/>
      <c r="F380"/>
    </row>
    <row r="381" spans="2:6" ht="15" x14ac:dyDescent="0.35">
      <c r="B381"/>
      <c r="C381"/>
      <c r="D381"/>
      <c r="E381"/>
      <c r="F381"/>
    </row>
    <row r="382" spans="2:6" ht="15" x14ac:dyDescent="0.35">
      <c r="B382"/>
      <c r="C382"/>
      <c r="D382"/>
      <c r="E382"/>
      <c r="F382"/>
    </row>
    <row r="383" spans="2:6" ht="15" x14ac:dyDescent="0.35">
      <c r="B383"/>
      <c r="C383"/>
      <c r="D383"/>
      <c r="E383"/>
      <c r="F383"/>
    </row>
    <row r="384" spans="2:6" ht="15" x14ac:dyDescent="0.35">
      <c r="B384"/>
      <c r="C384"/>
      <c r="D384"/>
      <c r="E384"/>
      <c r="F384"/>
    </row>
    <row r="385" spans="2:6" ht="15" x14ac:dyDescent="0.35">
      <c r="B385"/>
      <c r="C385"/>
      <c r="D385"/>
      <c r="E385"/>
      <c r="F385"/>
    </row>
    <row r="386" spans="2:6" ht="15" x14ac:dyDescent="0.35">
      <c r="B386"/>
      <c r="C386"/>
      <c r="D386"/>
      <c r="E386"/>
      <c r="F386"/>
    </row>
    <row r="387" spans="2:6" ht="15" x14ac:dyDescent="0.35">
      <c r="B387"/>
      <c r="C387"/>
      <c r="D387"/>
      <c r="E387"/>
      <c r="F387"/>
    </row>
    <row r="388" spans="2:6" ht="15" x14ac:dyDescent="0.35">
      <c r="B388"/>
      <c r="C388"/>
      <c r="D388"/>
      <c r="E388"/>
      <c r="F388"/>
    </row>
    <row r="389" spans="2:6" ht="15" x14ac:dyDescent="0.35">
      <c r="B389"/>
      <c r="C389"/>
      <c r="D389"/>
      <c r="E389"/>
      <c r="F389"/>
    </row>
    <row r="390" spans="2:6" ht="15" x14ac:dyDescent="0.35">
      <c r="B390"/>
      <c r="C390"/>
      <c r="D390"/>
      <c r="E390"/>
      <c r="F390"/>
    </row>
    <row r="391" spans="2:6" ht="15" x14ac:dyDescent="0.35">
      <c r="B391"/>
      <c r="C391"/>
      <c r="D391"/>
      <c r="E391"/>
      <c r="F391"/>
    </row>
    <row r="392" spans="2:6" ht="15" x14ac:dyDescent="0.35">
      <c r="B392"/>
      <c r="C392"/>
      <c r="D392"/>
      <c r="E392"/>
      <c r="F392"/>
    </row>
    <row r="393" spans="2:6" ht="15" x14ac:dyDescent="0.35">
      <c r="B393"/>
      <c r="C393"/>
      <c r="D393"/>
      <c r="E393"/>
      <c r="F393"/>
    </row>
    <row r="394" spans="2:6" ht="15" x14ac:dyDescent="0.35">
      <c r="B394"/>
      <c r="C394"/>
      <c r="D394"/>
      <c r="E394"/>
      <c r="F394"/>
    </row>
    <row r="395" spans="2:6" ht="15" x14ac:dyDescent="0.35">
      <c r="B395"/>
      <c r="C395"/>
      <c r="D395"/>
      <c r="E395"/>
      <c r="F395"/>
    </row>
    <row r="396" spans="2:6" ht="15" x14ac:dyDescent="0.35">
      <c r="B396"/>
      <c r="C396"/>
      <c r="D396"/>
      <c r="E396"/>
      <c r="F396"/>
    </row>
    <row r="397" spans="2:6" ht="15" x14ac:dyDescent="0.35">
      <c r="B397"/>
      <c r="C397"/>
      <c r="D397"/>
      <c r="E397"/>
      <c r="F397"/>
    </row>
    <row r="398" spans="2:6" ht="15" x14ac:dyDescent="0.35">
      <c r="B398"/>
      <c r="C398"/>
      <c r="D398"/>
      <c r="E398"/>
      <c r="F398"/>
    </row>
    <row r="399" spans="2:6" ht="15" x14ac:dyDescent="0.35">
      <c r="B399"/>
      <c r="C399"/>
      <c r="D399"/>
      <c r="E399"/>
      <c r="F399"/>
    </row>
    <row r="400" spans="2:6" ht="15" x14ac:dyDescent="0.35">
      <c r="B400"/>
      <c r="C400"/>
      <c r="D400"/>
      <c r="E400"/>
      <c r="F400"/>
    </row>
    <row r="401" spans="2:6" ht="15" x14ac:dyDescent="0.35">
      <c r="B401"/>
      <c r="C401"/>
      <c r="D401"/>
      <c r="E401"/>
      <c r="F401"/>
    </row>
    <row r="402" spans="2:6" ht="15" x14ac:dyDescent="0.35">
      <c r="B402"/>
      <c r="C402"/>
      <c r="D402"/>
      <c r="E402"/>
      <c r="F402"/>
    </row>
    <row r="403" spans="2:6" ht="15" x14ac:dyDescent="0.35">
      <c r="B403"/>
      <c r="C403"/>
      <c r="D403"/>
      <c r="E403"/>
      <c r="F403"/>
    </row>
    <row r="404" spans="2:6" ht="15" x14ac:dyDescent="0.35">
      <c r="B404"/>
      <c r="C404"/>
      <c r="D404"/>
      <c r="E404"/>
      <c r="F404"/>
    </row>
    <row r="405" spans="2:6" ht="15" x14ac:dyDescent="0.35">
      <c r="B405"/>
      <c r="C405"/>
      <c r="D405"/>
      <c r="E405"/>
      <c r="F405"/>
    </row>
    <row r="406" spans="2:6" ht="15" x14ac:dyDescent="0.35">
      <c r="B406"/>
      <c r="C406"/>
      <c r="D406"/>
      <c r="E406"/>
      <c r="F406"/>
    </row>
    <row r="407" spans="2:6" ht="15" x14ac:dyDescent="0.35">
      <c r="B407"/>
      <c r="C407"/>
      <c r="D407"/>
      <c r="E407"/>
      <c r="F407"/>
    </row>
    <row r="408" spans="2:6" ht="15" x14ac:dyDescent="0.35">
      <c r="B408"/>
      <c r="C408"/>
      <c r="D408"/>
      <c r="E408"/>
      <c r="F408"/>
    </row>
    <row r="409" spans="2:6" ht="15" x14ac:dyDescent="0.35">
      <c r="B409"/>
      <c r="C409"/>
      <c r="D409"/>
      <c r="E409"/>
      <c r="F409"/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06BC-8BF6-475E-83F1-0C4204AC8903}">
  <dimension ref="B2:E11"/>
  <sheetViews>
    <sheetView showGridLines="0" workbookViewId="0">
      <selection activeCell="E18" sqref="E18"/>
    </sheetView>
  </sheetViews>
  <sheetFormatPr defaultRowHeight="14.4" x14ac:dyDescent="0.3"/>
  <cols>
    <col min="2" max="2" width="18.109375" bestFit="1" customWidth="1"/>
    <col min="3" max="3" width="20.44140625" style="44" bestFit="1" customWidth="1"/>
    <col min="4" max="4" width="19.109375" style="45" bestFit="1" customWidth="1"/>
    <col min="5" max="5" width="23" bestFit="1" customWidth="1"/>
  </cols>
  <sheetData>
    <row r="2" spans="2:5" ht="23.4" x14ac:dyDescent="0.45">
      <c r="B2" s="48" t="s">
        <v>37</v>
      </c>
      <c r="C2" s="49" t="s">
        <v>1</v>
      </c>
      <c r="D2" s="50" t="s">
        <v>38</v>
      </c>
      <c r="E2" s="48" t="s">
        <v>39</v>
      </c>
    </row>
    <row r="3" spans="2:5" ht="23.4" x14ac:dyDescent="0.45">
      <c r="B3" s="48" t="str">
        <f>dashboard!A25</f>
        <v>Raspadinha</v>
      </c>
      <c r="C3" s="49">
        <f>dashboard!C25</f>
        <v>113350</v>
      </c>
      <c r="D3" s="84">
        <v>0.1</v>
      </c>
      <c r="E3" s="49">
        <f>C3*D3</f>
        <v>11335</v>
      </c>
    </row>
    <row r="4" spans="2:5" ht="23.4" x14ac:dyDescent="0.45">
      <c r="B4" s="48" t="str">
        <f>dashboard!A26</f>
        <v>Euromilhões</v>
      </c>
      <c r="C4" s="49">
        <f>dashboard!C26</f>
        <v>42000</v>
      </c>
      <c r="D4" s="84">
        <v>0.05</v>
      </c>
      <c r="E4" s="49">
        <f t="shared" ref="E4:E10" si="0">C4*D4</f>
        <v>2100</v>
      </c>
    </row>
    <row r="5" spans="2:5" ht="23.4" x14ac:dyDescent="0.45">
      <c r="B5" s="48" t="str">
        <f>dashboard!A27</f>
        <v>Placard</v>
      </c>
      <c r="C5" s="49">
        <f>dashboard!C27</f>
        <v>17525</v>
      </c>
      <c r="D5" s="84">
        <v>0.05</v>
      </c>
      <c r="E5" s="49">
        <f t="shared" si="0"/>
        <v>876.25</v>
      </c>
    </row>
    <row r="6" spans="2:5" ht="23.4" x14ac:dyDescent="0.45">
      <c r="B6" s="48" t="str">
        <f>dashboard!A28</f>
        <v>Eurodreams</v>
      </c>
      <c r="C6" s="49">
        <f>dashboard!C28</f>
        <v>9587.5</v>
      </c>
      <c r="D6" s="84">
        <v>0.05</v>
      </c>
      <c r="E6" s="49">
        <f t="shared" si="0"/>
        <v>479.375</v>
      </c>
    </row>
    <row r="7" spans="2:5" ht="23.4" x14ac:dyDescent="0.45">
      <c r="B7" s="48" t="str">
        <f>dashboard!A29</f>
        <v>Totoloto</v>
      </c>
      <c r="C7" s="49">
        <f>dashboard!C29</f>
        <v>5882</v>
      </c>
      <c r="D7" s="84">
        <v>7.0000000000000007E-2</v>
      </c>
      <c r="E7" s="49">
        <f>C7*D7</f>
        <v>411.74000000000007</v>
      </c>
    </row>
    <row r="8" spans="2:5" ht="23.4" x14ac:dyDescent="0.45">
      <c r="B8" s="48" t="str">
        <f>dashboard!A31</f>
        <v>Popular</v>
      </c>
      <c r="C8" s="49">
        <f>dashboard!C31</f>
        <v>4381</v>
      </c>
      <c r="D8" s="50">
        <v>0.125</v>
      </c>
      <c r="E8" s="49">
        <f t="shared" si="0"/>
        <v>547.625</v>
      </c>
    </row>
    <row r="9" spans="2:5" ht="23.4" x14ac:dyDescent="0.45">
      <c r="B9" s="48" t="str">
        <f>dashboard!A32</f>
        <v>Clássica</v>
      </c>
      <c r="C9" s="49">
        <f>dashboard!C32</f>
        <v>2255</v>
      </c>
      <c r="D9" s="50">
        <v>0.127</v>
      </c>
      <c r="E9" s="49">
        <f t="shared" si="0"/>
        <v>286.38499999999999</v>
      </c>
    </row>
    <row r="10" spans="2:5" ht="23.4" x14ac:dyDescent="0.45">
      <c r="B10" s="48" t="str">
        <f>dashboard!A33</f>
        <v>Totobola</v>
      </c>
      <c r="C10" s="49">
        <f>dashboard!C33</f>
        <v>416.5</v>
      </c>
      <c r="D10" s="84">
        <v>7.0000000000000007E-2</v>
      </c>
      <c r="E10" s="49">
        <f t="shared" si="0"/>
        <v>29.155000000000001</v>
      </c>
    </row>
    <row r="11" spans="2:5" ht="23.4" x14ac:dyDescent="0.45">
      <c r="B11" s="48" t="s">
        <v>40</v>
      </c>
      <c r="C11" s="49">
        <f>SUBTOTAL(109,Tabela1[Vendas])</f>
        <v>195397</v>
      </c>
      <c r="D11" s="85">
        <f>SUBTOTAL(101,Tabela1[Comissões])</f>
        <v>8.0250000000000016E-2</v>
      </c>
      <c r="E11" s="49">
        <f>SUBTOTAL(109,Tabela1[Total Apurado])</f>
        <v>16065.53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892A-1D98-476D-890E-38629E4CF84D}">
  <sheetPr>
    <tabColor theme="9" tint="0.59999389629810485"/>
  </sheetPr>
  <dimension ref="B3:P48"/>
  <sheetViews>
    <sheetView showGridLines="0" workbookViewId="0">
      <selection activeCell="R37" sqref="R37"/>
    </sheetView>
  </sheetViews>
  <sheetFormatPr defaultRowHeight="14.4" x14ac:dyDescent="0.3"/>
  <cols>
    <col min="2" max="2" width="20.21875" bestFit="1" customWidth="1"/>
    <col min="3" max="3" width="22.109375" bestFit="1" customWidth="1"/>
    <col min="4" max="4" width="18.21875" bestFit="1" customWidth="1"/>
    <col min="5" max="5" width="10.109375" bestFit="1" customWidth="1"/>
    <col min="6" max="6" width="12.5546875" bestFit="1" customWidth="1"/>
    <col min="7" max="7" width="7.109375" bestFit="1" customWidth="1"/>
    <col min="8" max="8" width="8.33203125" bestFit="1" customWidth="1"/>
    <col min="9" max="9" width="12.109375" bestFit="1" customWidth="1"/>
    <col min="10" max="10" width="8.33203125" customWidth="1"/>
    <col min="11" max="11" width="12.33203125" bestFit="1" customWidth="1"/>
    <col min="12" max="12" width="12.77734375" bestFit="1" customWidth="1"/>
    <col min="13" max="13" width="13.109375" bestFit="1" customWidth="1"/>
    <col min="14" max="14" width="14" bestFit="1" customWidth="1"/>
    <col min="15" max="15" width="13.33203125" bestFit="1" customWidth="1"/>
    <col min="16" max="16" width="16" bestFit="1" customWidth="1"/>
  </cols>
  <sheetData>
    <row r="3" spans="2:11" x14ac:dyDescent="0.3">
      <c r="B3" t="s">
        <v>41</v>
      </c>
      <c r="D3" t="s">
        <v>42</v>
      </c>
      <c r="E3" t="s">
        <v>43</v>
      </c>
      <c r="F3" t="s">
        <v>34</v>
      </c>
      <c r="G3" t="s">
        <v>35</v>
      </c>
      <c r="H3" t="s">
        <v>54</v>
      </c>
      <c r="K3" t="s">
        <v>32</v>
      </c>
    </row>
    <row r="4" spans="2:11" x14ac:dyDescent="0.3">
      <c r="B4" s="128">
        <v>4152.5</v>
      </c>
      <c r="D4" s="128">
        <v>195397</v>
      </c>
      <c r="E4" s="128">
        <v>225042.30000000019</v>
      </c>
      <c r="F4" s="8">
        <v>-0.131732123249718</v>
      </c>
      <c r="G4" s="128">
        <v>-29645.300000000017</v>
      </c>
      <c r="H4" s="128">
        <v>211592</v>
      </c>
      <c r="K4" s="128">
        <v>195397</v>
      </c>
    </row>
    <row r="5" spans="2:11" x14ac:dyDescent="0.3">
      <c r="F5" s="4"/>
      <c r="G5" s="4"/>
    </row>
    <row r="7" spans="2:11" x14ac:dyDescent="0.3">
      <c r="D7" t="s">
        <v>44</v>
      </c>
      <c r="E7" t="s">
        <v>45</v>
      </c>
      <c r="F7" t="s">
        <v>34</v>
      </c>
      <c r="G7" t="s">
        <v>35</v>
      </c>
    </row>
    <row r="8" spans="2:11" x14ac:dyDescent="0.3">
      <c r="D8" s="7">
        <v>5571.5</v>
      </c>
      <c r="E8" s="7">
        <v>4592.7</v>
      </c>
      <c r="F8" s="7">
        <v>0.21312082217432016</v>
      </c>
      <c r="G8" s="7">
        <v>978.80000000000018</v>
      </c>
    </row>
    <row r="11" spans="2:11" x14ac:dyDescent="0.3">
      <c r="D11" t="s">
        <v>46</v>
      </c>
      <c r="E11" t="s">
        <v>47</v>
      </c>
      <c r="F11" t="s">
        <v>34</v>
      </c>
      <c r="G11" t="s">
        <v>35</v>
      </c>
    </row>
    <row r="12" spans="2:11" x14ac:dyDescent="0.3">
      <c r="D12" s="7">
        <v>5571.5</v>
      </c>
      <c r="E12" s="7">
        <v>4592.7</v>
      </c>
      <c r="F12" s="7">
        <v>0.21312082217432016</v>
      </c>
      <c r="G12" s="7">
        <v>978.80000000000018</v>
      </c>
    </row>
    <row r="15" spans="2:11" x14ac:dyDescent="0.3">
      <c r="D15" t="s">
        <v>48</v>
      </c>
      <c r="E15" t="s">
        <v>55</v>
      </c>
    </row>
    <row r="16" spans="2:11" x14ac:dyDescent="0.3">
      <c r="D16" s="128">
        <v>4152.5</v>
      </c>
      <c r="E16" s="128">
        <v>5479</v>
      </c>
    </row>
    <row r="24" spans="4:16" x14ac:dyDescent="0.3">
      <c r="D24" s="1" t="s">
        <v>49</v>
      </c>
      <c r="E24" t="s">
        <v>32</v>
      </c>
      <c r="F24" t="s">
        <v>33</v>
      </c>
      <c r="G24" t="s">
        <v>34</v>
      </c>
      <c r="H24" t="s">
        <v>35</v>
      </c>
      <c r="K24" t="s">
        <v>51</v>
      </c>
      <c r="L24" t="s">
        <v>52</v>
      </c>
      <c r="M24" t="s">
        <v>58</v>
      </c>
      <c r="N24" t="s">
        <v>53</v>
      </c>
      <c r="O24" t="s">
        <v>62</v>
      </c>
      <c r="P24" t="s">
        <v>61</v>
      </c>
    </row>
    <row r="25" spans="4:16" x14ac:dyDescent="0.3">
      <c r="D25" s="2" t="s">
        <v>20</v>
      </c>
      <c r="E25" s="7">
        <v>3440</v>
      </c>
      <c r="F25" s="129">
        <v>2627.7</v>
      </c>
      <c r="G25" s="8">
        <v>0.30912965711458701</v>
      </c>
      <c r="H25" s="128">
        <v>812.30000000000018</v>
      </c>
      <c r="J25" s="4"/>
      <c r="K25" s="7">
        <v>83585.819999999992</v>
      </c>
      <c r="L25" s="7">
        <v>3022.99</v>
      </c>
      <c r="M25" s="46">
        <v>3022.99</v>
      </c>
      <c r="N25" s="46">
        <v>1968.38</v>
      </c>
      <c r="O25" s="128">
        <v>87229.759999999995</v>
      </c>
      <c r="P25" s="128">
        <v>2604.81</v>
      </c>
    </row>
    <row r="26" spans="4:16" x14ac:dyDescent="0.3">
      <c r="D26" s="2" t="s">
        <v>22</v>
      </c>
      <c r="E26" s="7">
        <v>955</v>
      </c>
      <c r="F26" s="129">
        <v>894.25</v>
      </c>
      <c r="G26" s="8">
        <v>6.7934022924238183E-2</v>
      </c>
      <c r="H26" s="128">
        <v>60.75</v>
      </c>
      <c r="J26" s="4"/>
    </row>
    <row r="27" spans="4:16" x14ac:dyDescent="0.3">
      <c r="D27" s="2" t="s">
        <v>28</v>
      </c>
      <c r="E27" s="7">
        <v>525</v>
      </c>
      <c r="F27" s="129">
        <v>72.150000000000006</v>
      </c>
      <c r="G27" s="8">
        <v>6.2765072765072762</v>
      </c>
      <c r="H27" s="128">
        <v>452.85</v>
      </c>
      <c r="J27" s="4"/>
    </row>
    <row r="28" spans="4:16" x14ac:dyDescent="0.3">
      <c r="D28" s="2" t="s">
        <v>25</v>
      </c>
      <c r="E28" s="7">
        <v>220</v>
      </c>
      <c r="F28" s="129">
        <v>301.64999999999998</v>
      </c>
      <c r="G28" s="8">
        <v>-0.27067793800762469</v>
      </c>
      <c r="H28" s="128">
        <v>-81.649999999999977</v>
      </c>
      <c r="J28" s="4"/>
    </row>
    <row r="29" spans="4:16" x14ac:dyDescent="0.3">
      <c r="D29" s="2" t="s">
        <v>23</v>
      </c>
      <c r="E29" s="7">
        <v>191</v>
      </c>
      <c r="F29" s="129">
        <v>433.55</v>
      </c>
      <c r="G29" s="8">
        <v>-0.55945104370891474</v>
      </c>
      <c r="H29" s="128">
        <v>-242.55</v>
      </c>
      <c r="J29" s="4"/>
    </row>
    <row r="30" spans="4:16" x14ac:dyDescent="0.3">
      <c r="D30" s="2" t="s">
        <v>26</v>
      </c>
      <c r="E30" s="7">
        <v>130</v>
      </c>
      <c r="F30" s="129">
        <v>153</v>
      </c>
      <c r="G30" s="8">
        <v>-0.15032679738562091</v>
      </c>
      <c r="H30" s="128">
        <v>-23</v>
      </c>
      <c r="J30" s="4"/>
    </row>
    <row r="31" spans="4:16" x14ac:dyDescent="0.3">
      <c r="D31" s="2" t="s">
        <v>27</v>
      </c>
      <c r="E31" s="7">
        <v>85</v>
      </c>
      <c r="F31" s="129">
        <v>107.4</v>
      </c>
      <c r="G31" s="8">
        <v>-0.20856610800744882</v>
      </c>
      <c r="H31" s="128">
        <v>-22.400000000000006</v>
      </c>
      <c r="J31" s="4"/>
    </row>
    <row r="32" spans="4:16" x14ac:dyDescent="0.3">
      <c r="D32" s="2" t="s">
        <v>29</v>
      </c>
      <c r="E32" s="7">
        <v>25.5</v>
      </c>
      <c r="F32" s="129">
        <v>3</v>
      </c>
      <c r="G32" s="8">
        <v>7.5</v>
      </c>
      <c r="H32" s="128">
        <v>22.5</v>
      </c>
      <c r="J32" s="4"/>
    </row>
    <row r="33" spans="4:10" x14ac:dyDescent="0.3">
      <c r="D33" s="2" t="s">
        <v>63</v>
      </c>
      <c r="E33" s="7">
        <v>0</v>
      </c>
      <c r="F33" s="129"/>
      <c r="G33" s="8" t="e">
        <v>#NUM!</v>
      </c>
      <c r="H33" s="128">
        <v>0</v>
      </c>
      <c r="J33" s="4"/>
    </row>
    <row r="34" spans="4:10" x14ac:dyDescent="0.3">
      <c r="D34" s="2" t="s">
        <v>36</v>
      </c>
      <c r="E34" s="7">
        <v>5571.5</v>
      </c>
      <c r="F34" s="129">
        <v>4592.7</v>
      </c>
      <c r="G34" s="8">
        <v>0.21312082217432016</v>
      </c>
      <c r="H34" s="128">
        <v>978.80000000000018</v>
      </c>
    </row>
    <row r="38" spans="4:10" x14ac:dyDescent="0.3">
      <c r="D38" s="1" t="s">
        <v>49</v>
      </c>
      <c r="E38" t="s">
        <v>42</v>
      </c>
      <c r="F38" t="s">
        <v>43</v>
      </c>
      <c r="G38" t="s">
        <v>34</v>
      </c>
      <c r="H38" t="s">
        <v>35</v>
      </c>
      <c r="I38" t="s">
        <v>64</v>
      </c>
    </row>
    <row r="39" spans="4:10" x14ac:dyDescent="0.3">
      <c r="D39" s="2" t="s">
        <v>20</v>
      </c>
      <c r="E39" s="128">
        <v>113350</v>
      </c>
      <c r="F39" s="128">
        <v>128757.2999999999</v>
      </c>
      <c r="G39" s="8">
        <v>-0.11966156482001342</v>
      </c>
      <c r="H39" s="128">
        <v>-15407.299999999901</v>
      </c>
      <c r="I39" s="128">
        <v>11335</v>
      </c>
      <c r="J39" s="4"/>
    </row>
    <row r="40" spans="4:10" x14ac:dyDescent="0.3">
      <c r="D40" s="2" t="s">
        <v>22</v>
      </c>
      <c r="E40" s="128">
        <v>42000</v>
      </c>
      <c r="F40" s="128">
        <v>43818.25</v>
      </c>
      <c r="G40" s="8">
        <v>-4.14952673828827E-2</v>
      </c>
      <c r="H40" s="128">
        <v>-1818.25</v>
      </c>
      <c r="I40" s="128">
        <v>2100</v>
      </c>
      <c r="J40" s="4"/>
    </row>
    <row r="41" spans="4:10" x14ac:dyDescent="0.3">
      <c r="D41" s="2" t="s">
        <v>23</v>
      </c>
      <c r="E41" s="128">
        <v>17525</v>
      </c>
      <c r="F41" s="128">
        <v>21243.949999999983</v>
      </c>
      <c r="G41" s="8">
        <v>-0.17505925216355647</v>
      </c>
      <c r="H41" s="128">
        <v>-3718.9499999999825</v>
      </c>
      <c r="I41" s="128">
        <v>876.25</v>
      </c>
      <c r="J41" s="4"/>
    </row>
    <row r="42" spans="4:10" x14ac:dyDescent="0.3">
      <c r="D42" s="2" t="s">
        <v>25</v>
      </c>
      <c r="E42" s="128">
        <v>9587.5</v>
      </c>
      <c r="F42" s="128">
        <v>14780.849999999988</v>
      </c>
      <c r="G42" s="8">
        <v>-0.35135665404898853</v>
      </c>
      <c r="H42" s="128">
        <v>-5193.3499999999876</v>
      </c>
      <c r="I42" s="128">
        <v>479.375</v>
      </c>
      <c r="J42" s="4"/>
    </row>
    <row r="43" spans="4:10" x14ac:dyDescent="0.3">
      <c r="D43" s="2" t="s">
        <v>26</v>
      </c>
      <c r="E43" s="128">
        <v>5882</v>
      </c>
      <c r="F43" s="128">
        <v>7497</v>
      </c>
      <c r="G43" s="8">
        <v>-0.21541950113378686</v>
      </c>
      <c r="H43" s="128">
        <v>-1615</v>
      </c>
      <c r="I43" s="128">
        <v>411.74</v>
      </c>
      <c r="J43" s="4"/>
    </row>
    <row r="44" spans="4:10" x14ac:dyDescent="0.3">
      <c r="D44" s="2" t="s">
        <v>27</v>
      </c>
      <c r="E44" s="128">
        <v>4381</v>
      </c>
      <c r="F44" s="128">
        <v>5262.5999999999985</v>
      </c>
      <c r="G44" s="8">
        <v>-0.16752175730627422</v>
      </c>
      <c r="H44" s="128">
        <v>-881.59999999999854</v>
      </c>
      <c r="I44" s="128">
        <v>547.625</v>
      </c>
      <c r="J44" s="4"/>
    </row>
    <row r="45" spans="4:10" x14ac:dyDescent="0.3">
      <c r="D45" s="2" t="s">
        <v>28</v>
      </c>
      <c r="E45" s="128">
        <v>2255</v>
      </c>
      <c r="F45" s="128">
        <v>3535.3500000000026</v>
      </c>
      <c r="G45" s="8">
        <v>-0.36215650501364832</v>
      </c>
      <c r="H45" s="128">
        <v>-1280.3500000000026</v>
      </c>
      <c r="I45" s="128">
        <v>286.38499999999999</v>
      </c>
      <c r="J45" s="4"/>
    </row>
    <row r="46" spans="4:10" x14ac:dyDescent="0.3">
      <c r="D46" s="2" t="s">
        <v>29</v>
      </c>
      <c r="E46" s="128">
        <v>416.5</v>
      </c>
      <c r="F46" s="128">
        <v>147</v>
      </c>
      <c r="G46" s="8">
        <v>1.8333333333333333</v>
      </c>
      <c r="H46" s="128">
        <v>269.5</v>
      </c>
      <c r="I46" s="128">
        <v>29.155000000000001</v>
      </c>
      <c r="J46" s="4"/>
    </row>
    <row r="47" spans="4:10" x14ac:dyDescent="0.3">
      <c r="D47" s="2" t="s">
        <v>63</v>
      </c>
      <c r="E47" s="128">
        <v>0</v>
      </c>
      <c r="F47" s="128"/>
      <c r="G47" s="8" t="e">
        <v>#NUM!</v>
      </c>
      <c r="H47" s="128">
        <v>0</v>
      </c>
      <c r="I47" s="128"/>
      <c r="J47" s="4"/>
    </row>
    <row r="48" spans="4:10" x14ac:dyDescent="0.3">
      <c r="D48" s="2" t="s">
        <v>36</v>
      </c>
      <c r="E48" s="128">
        <v>195397</v>
      </c>
      <c r="F48" s="128">
        <v>225042.30000000019</v>
      </c>
      <c r="G48" s="8">
        <v>-0.131732123249718</v>
      </c>
      <c r="H48" s="128">
        <v>-29645.300000000017</v>
      </c>
      <c r="I48" s="128">
        <v>16065.53</v>
      </c>
    </row>
  </sheetData>
  <pageMargins left="0.7" right="0.7" top="0.75" bottom="0.75" header="0.3" footer="0.3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1C53-B683-4663-AD4C-1495F6899BCA}">
  <sheetPr>
    <tabColor theme="5" tint="0.39997558519241921"/>
  </sheetPr>
  <dimension ref="B3:F55"/>
  <sheetViews>
    <sheetView showGridLines="0" workbookViewId="0">
      <selection activeCell="C13" sqref="C13"/>
    </sheetView>
  </sheetViews>
  <sheetFormatPr defaultColWidth="9.109375" defaultRowHeight="13.8" x14ac:dyDescent="0.35"/>
  <cols>
    <col min="1" max="1" width="9.109375" style="5"/>
    <col min="2" max="2" width="16.88671875" style="5" bestFit="1" customWidth="1"/>
    <col min="3" max="3" width="11.109375" style="5" bestFit="1" customWidth="1"/>
    <col min="4" max="4" width="6.33203125" style="5" bestFit="1" customWidth="1"/>
    <col min="5" max="5" width="8.33203125" style="5" bestFit="1" customWidth="1"/>
    <col min="6" max="6" width="8.44140625" style="5" bestFit="1" customWidth="1"/>
    <col min="7" max="16384" width="9.109375" style="5"/>
  </cols>
  <sheetData>
    <row r="3" spans="2:6" ht="15" x14ac:dyDescent="0.35">
      <c r="B3" s="86" t="s">
        <v>49</v>
      </c>
      <c r="C3" s="87" t="s">
        <v>32</v>
      </c>
      <c r="D3"/>
      <c r="E3"/>
      <c r="F3"/>
    </row>
    <row r="4" spans="2:6" ht="15" x14ac:dyDescent="0.35">
      <c r="B4" s="88">
        <v>49</v>
      </c>
      <c r="C4" s="130">
        <v>5571.5</v>
      </c>
      <c r="D4"/>
      <c r="E4"/>
      <c r="F4"/>
    </row>
    <row r="5" spans="2:6" ht="15" x14ac:dyDescent="0.35">
      <c r="B5" s="88">
        <v>48</v>
      </c>
      <c r="C5" s="130">
        <v>4152.5</v>
      </c>
      <c r="D5"/>
      <c r="E5"/>
      <c r="F5"/>
    </row>
    <row r="6" spans="2:6" ht="15" x14ac:dyDescent="0.35">
      <c r="B6" s="88">
        <v>47</v>
      </c>
      <c r="C6" s="130">
        <v>4481.5</v>
      </c>
      <c r="D6"/>
      <c r="E6"/>
      <c r="F6"/>
    </row>
    <row r="7" spans="2:6" ht="15" x14ac:dyDescent="0.35">
      <c r="B7" s="88">
        <v>46</v>
      </c>
      <c r="C7" s="130">
        <v>4236</v>
      </c>
      <c r="D7"/>
      <c r="E7"/>
      <c r="F7"/>
    </row>
    <row r="8" spans="2:6" ht="15" x14ac:dyDescent="0.35">
      <c r="B8" s="88">
        <v>45</v>
      </c>
      <c r="C8" s="130">
        <v>4298</v>
      </c>
      <c r="D8"/>
      <c r="E8"/>
      <c r="F8"/>
    </row>
    <row r="9" spans="2:6" ht="15" x14ac:dyDescent="0.35">
      <c r="B9" s="88">
        <v>44</v>
      </c>
      <c r="C9" s="130">
        <v>2570.5</v>
      </c>
      <c r="D9"/>
      <c r="E9"/>
      <c r="F9"/>
    </row>
    <row r="10" spans="2:6" ht="15" x14ac:dyDescent="0.35">
      <c r="B10" s="88">
        <v>43</v>
      </c>
      <c r="C10" s="130">
        <v>4262</v>
      </c>
      <c r="D10"/>
      <c r="E10"/>
      <c r="F10"/>
    </row>
    <row r="11" spans="2:6" ht="15" x14ac:dyDescent="0.35">
      <c r="B11" s="88">
        <v>42</v>
      </c>
      <c r="C11" s="130">
        <v>4279</v>
      </c>
      <c r="D11"/>
      <c r="E11"/>
      <c r="F11"/>
    </row>
    <row r="12" spans="2:6" ht="15" x14ac:dyDescent="0.35">
      <c r="B12" s="88">
        <v>41</v>
      </c>
      <c r="C12" s="130">
        <v>4906</v>
      </c>
      <c r="D12"/>
      <c r="E12"/>
      <c r="F12"/>
    </row>
    <row r="13" spans="2:6" ht="15" x14ac:dyDescent="0.35">
      <c r="B13" s="88">
        <v>40</v>
      </c>
      <c r="C13" s="130">
        <v>4657.5</v>
      </c>
      <c r="D13"/>
      <c r="E13"/>
      <c r="F13"/>
    </row>
    <row r="14" spans="2:6" ht="15" x14ac:dyDescent="0.35">
      <c r="B14" s="88">
        <v>39</v>
      </c>
      <c r="C14" s="130">
        <v>4831</v>
      </c>
      <c r="D14"/>
      <c r="E14"/>
      <c r="F14"/>
    </row>
    <row r="15" spans="2:6" ht="15" x14ac:dyDescent="0.35">
      <c r="B15" s="88">
        <v>38</v>
      </c>
      <c r="C15" s="130">
        <v>4497</v>
      </c>
      <c r="D15"/>
      <c r="E15"/>
      <c r="F15"/>
    </row>
    <row r="16" spans="2:6" ht="15" x14ac:dyDescent="0.35">
      <c r="B16" s="88">
        <v>37</v>
      </c>
      <c r="C16" s="130">
        <v>3174.5</v>
      </c>
      <c r="D16"/>
      <c r="E16"/>
      <c r="F16"/>
    </row>
    <row r="17" spans="2:6" ht="15" x14ac:dyDescent="0.35">
      <c r="B17" s="88">
        <v>36</v>
      </c>
      <c r="C17" s="130">
        <v>4152</v>
      </c>
      <c r="D17"/>
      <c r="E17"/>
      <c r="F17"/>
    </row>
    <row r="18" spans="2:6" ht="15" x14ac:dyDescent="0.35">
      <c r="B18" s="88">
        <v>35</v>
      </c>
      <c r="C18" s="130">
        <v>3245.5</v>
      </c>
      <c r="D18"/>
      <c r="E18"/>
      <c r="F18"/>
    </row>
    <row r="19" spans="2:6" ht="15" x14ac:dyDescent="0.35">
      <c r="B19" s="88">
        <v>34</v>
      </c>
      <c r="C19" s="130">
        <v>3274</v>
      </c>
      <c r="D19"/>
      <c r="E19"/>
      <c r="F19"/>
    </row>
    <row r="20" spans="2:6" ht="15" x14ac:dyDescent="0.35">
      <c r="B20" s="88">
        <v>33</v>
      </c>
      <c r="C20" s="130">
        <v>3380</v>
      </c>
      <c r="D20"/>
      <c r="E20"/>
      <c r="F20"/>
    </row>
    <row r="21" spans="2:6" ht="15" x14ac:dyDescent="0.35">
      <c r="B21" s="88">
        <v>32</v>
      </c>
      <c r="C21" s="130">
        <v>255</v>
      </c>
      <c r="D21"/>
      <c r="E21"/>
      <c r="F21"/>
    </row>
    <row r="22" spans="2:6" ht="15" x14ac:dyDescent="0.35">
      <c r="B22" s="88">
        <v>31</v>
      </c>
      <c r="C22" s="130">
        <v>3806</v>
      </c>
      <c r="D22"/>
      <c r="E22"/>
      <c r="F22"/>
    </row>
    <row r="23" spans="2:6" ht="15" x14ac:dyDescent="0.35">
      <c r="B23" s="88">
        <v>30</v>
      </c>
      <c r="C23" s="130">
        <v>4542.5</v>
      </c>
      <c r="D23"/>
      <c r="E23"/>
      <c r="F23"/>
    </row>
    <row r="24" spans="2:6" ht="15" x14ac:dyDescent="0.35">
      <c r="B24" s="88">
        <v>29</v>
      </c>
      <c r="C24" s="130">
        <v>3092.5</v>
      </c>
      <c r="D24"/>
      <c r="E24"/>
      <c r="F24"/>
    </row>
    <row r="25" spans="2:6" ht="15" x14ac:dyDescent="0.35">
      <c r="B25" s="88">
        <v>28</v>
      </c>
      <c r="C25" s="130">
        <v>4386.5</v>
      </c>
      <c r="D25"/>
      <c r="E25"/>
      <c r="F25"/>
    </row>
    <row r="26" spans="2:6" ht="15" x14ac:dyDescent="0.35">
      <c r="B26" s="88">
        <v>27</v>
      </c>
      <c r="C26" s="130">
        <v>3003.5</v>
      </c>
      <c r="D26"/>
      <c r="E26"/>
    </row>
    <row r="27" spans="2:6" ht="15" x14ac:dyDescent="0.35">
      <c r="B27" s="88">
        <v>26</v>
      </c>
      <c r="C27" s="130">
        <v>4553.5</v>
      </c>
      <c r="D27"/>
      <c r="E27"/>
    </row>
    <row r="28" spans="2:6" ht="15" x14ac:dyDescent="0.35">
      <c r="B28" s="88">
        <v>25</v>
      </c>
      <c r="C28" s="130">
        <v>3260.5</v>
      </c>
      <c r="D28"/>
      <c r="E28"/>
    </row>
    <row r="29" spans="2:6" ht="15" x14ac:dyDescent="0.35">
      <c r="B29" s="88">
        <v>24</v>
      </c>
      <c r="C29" s="130">
        <v>3918.5</v>
      </c>
      <c r="D29"/>
      <c r="E29"/>
    </row>
    <row r="30" spans="2:6" ht="15" x14ac:dyDescent="0.35">
      <c r="B30" s="88">
        <v>23</v>
      </c>
      <c r="C30" s="130">
        <v>3461.5</v>
      </c>
      <c r="D30"/>
      <c r="E30"/>
    </row>
    <row r="31" spans="2:6" ht="15" x14ac:dyDescent="0.35">
      <c r="B31" s="88">
        <v>22</v>
      </c>
      <c r="C31" s="130">
        <v>4880</v>
      </c>
      <c r="D31"/>
      <c r="E31"/>
    </row>
    <row r="32" spans="2:6" ht="15" x14ac:dyDescent="0.35">
      <c r="B32" s="88">
        <v>21</v>
      </c>
      <c r="C32" s="130">
        <v>4547</v>
      </c>
      <c r="D32"/>
      <c r="E32"/>
    </row>
    <row r="33" spans="2:5" ht="15" x14ac:dyDescent="0.35">
      <c r="B33" s="88">
        <v>20</v>
      </c>
      <c r="C33" s="130">
        <v>4144</v>
      </c>
      <c r="D33"/>
      <c r="E33"/>
    </row>
    <row r="34" spans="2:5" ht="15" x14ac:dyDescent="0.35">
      <c r="B34" s="88">
        <v>19</v>
      </c>
      <c r="C34" s="130">
        <v>3338</v>
      </c>
      <c r="D34"/>
      <c r="E34"/>
    </row>
    <row r="35" spans="2:5" ht="15" x14ac:dyDescent="0.35">
      <c r="B35" s="88">
        <v>18</v>
      </c>
      <c r="C35" s="130">
        <v>4256.5</v>
      </c>
      <c r="D35"/>
      <c r="E35"/>
    </row>
    <row r="36" spans="2:5" ht="15" x14ac:dyDescent="0.35">
      <c r="B36" s="88">
        <v>17</v>
      </c>
      <c r="C36" s="130">
        <v>3041</v>
      </c>
      <c r="D36"/>
      <c r="E36"/>
    </row>
    <row r="37" spans="2:5" ht="15" x14ac:dyDescent="0.35">
      <c r="B37" s="88">
        <v>16</v>
      </c>
      <c r="C37" s="130">
        <v>2798.5</v>
      </c>
      <c r="D37"/>
      <c r="E37"/>
    </row>
    <row r="38" spans="2:5" ht="15" x14ac:dyDescent="0.35">
      <c r="B38" s="88">
        <v>15</v>
      </c>
      <c r="C38" s="130">
        <v>3043.5</v>
      </c>
      <c r="D38"/>
      <c r="E38"/>
    </row>
    <row r="39" spans="2:5" ht="15" x14ac:dyDescent="0.35">
      <c r="B39" s="88">
        <v>14</v>
      </c>
      <c r="C39" s="130">
        <v>2996</v>
      </c>
      <c r="D39"/>
      <c r="E39"/>
    </row>
    <row r="40" spans="2:5" ht="15" x14ac:dyDescent="0.35">
      <c r="B40" s="88">
        <v>13</v>
      </c>
      <c r="C40" s="130">
        <v>3928</v>
      </c>
      <c r="D40"/>
      <c r="E40"/>
    </row>
    <row r="41" spans="2:5" ht="15" x14ac:dyDescent="0.35">
      <c r="B41" s="88">
        <v>12</v>
      </c>
      <c r="C41" s="130">
        <v>5142</v>
      </c>
      <c r="D41"/>
      <c r="E41"/>
    </row>
    <row r="42" spans="2:5" ht="15" x14ac:dyDescent="0.35">
      <c r="B42" s="88">
        <v>11</v>
      </c>
      <c r="C42" s="130">
        <v>5052.5</v>
      </c>
      <c r="D42"/>
      <c r="E42"/>
    </row>
    <row r="43" spans="2:5" ht="15" x14ac:dyDescent="0.35">
      <c r="B43" s="88">
        <v>10</v>
      </c>
      <c r="C43" s="130">
        <v>4800</v>
      </c>
      <c r="D43"/>
      <c r="E43"/>
    </row>
    <row r="44" spans="2:5" ht="15" x14ac:dyDescent="0.35">
      <c r="B44" s="88">
        <v>9</v>
      </c>
      <c r="C44" s="130">
        <v>3291</v>
      </c>
      <c r="D44"/>
      <c r="E44"/>
    </row>
    <row r="45" spans="2:5" ht="15" x14ac:dyDescent="0.35">
      <c r="B45" s="88">
        <v>8</v>
      </c>
      <c r="C45" s="130">
        <v>3072.5</v>
      </c>
      <c r="D45"/>
      <c r="E45"/>
    </row>
    <row r="46" spans="2:5" ht="15" x14ac:dyDescent="0.35">
      <c r="B46" s="88">
        <v>7</v>
      </c>
      <c r="C46" s="130">
        <v>4797</v>
      </c>
      <c r="D46"/>
      <c r="E46"/>
    </row>
    <row r="47" spans="2:5" ht="15" x14ac:dyDescent="0.35">
      <c r="B47" s="88">
        <v>6</v>
      </c>
      <c r="C47" s="130">
        <v>3575</v>
      </c>
      <c r="D47"/>
      <c r="E47"/>
    </row>
    <row r="48" spans="2:5" ht="15" x14ac:dyDescent="0.35">
      <c r="B48" s="88">
        <v>5</v>
      </c>
      <c r="C48" s="130">
        <v>5130</v>
      </c>
      <c r="D48"/>
      <c r="E48"/>
    </row>
    <row r="49" spans="2:5" ht="15" x14ac:dyDescent="0.35">
      <c r="B49" s="88">
        <v>4</v>
      </c>
      <c r="C49" s="130">
        <v>5390.5</v>
      </c>
      <c r="D49"/>
      <c r="E49"/>
    </row>
    <row r="50" spans="2:5" ht="15" x14ac:dyDescent="0.35">
      <c r="B50" s="88">
        <v>3</v>
      </c>
      <c r="C50" s="130">
        <v>3350</v>
      </c>
      <c r="D50"/>
      <c r="E50"/>
    </row>
    <row r="51" spans="2:5" ht="15" x14ac:dyDescent="0.35">
      <c r="B51" s="88">
        <v>2</v>
      </c>
      <c r="C51" s="130">
        <v>5493.5</v>
      </c>
      <c r="D51"/>
      <c r="E51"/>
    </row>
    <row r="52" spans="2:5" ht="15" x14ac:dyDescent="0.35">
      <c r="B52" s="88">
        <v>1</v>
      </c>
      <c r="C52" s="130">
        <v>5082</v>
      </c>
      <c r="D52"/>
      <c r="E52"/>
    </row>
    <row r="53" spans="2:5" ht="15" x14ac:dyDescent="0.35">
      <c r="B53" s="88" t="s">
        <v>36</v>
      </c>
      <c r="C53" s="130">
        <v>195397</v>
      </c>
      <c r="D53"/>
      <c r="E53"/>
    </row>
    <row r="54" spans="2:5" ht="15" x14ac:dyDescent="0.35">
      <c r="B54"/>
      <c r="C54"/>
      <c r="D54"/>
      <c r="E54"/>
    </row>
    <row r="55" spans="2:5" ht="15" x14ac:dyDescent="0.35">
      <c r="B55"/>
      <c r="C55"/>
      <c r="D55"/>
      <c r="E55"/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Props1.xml><?xml version="1.0" encoding="utf-8"?>
<ds:datastoreItem xmlns:ds="http://schemas.openxmlformats.org/officeDocument/2006/customXml" ds:itemID="{35077FD9-EC43-468C-ABA2-8E687E3B1A23}">
  <ds:schemaRefs/>
</ds:datastoreItem>
</file>

<file path=customXml/itemProps2.xml><?xml version="1.0" encoding="utf-8"?>
<ds:datastoreItem xmlns:ds="http://schemas.openxmlformats.org/officeDocument/2006/customXml" ds:itemID="{2858AA6A-D0FF-4829-96B6-F570EC1E41EA}">
  <ds:schemaRefs/>
</ds:datastoreItem>
</file>

<file path=customXml/itemProps3.xml><?xml version="1.0" encoding="utf-8"?>
<ds:datastoreItem xmlns:ds="http://schemas.openxmlformats.org/officeDocument/2006/customXml" ds:itemID="{E9FB8B65-CB41-440E-A3FB-CBF1B5C5D8FD}">
  <ds:schemaRefs/>
</ds:datastoreItem>
</file>

<file path=customXml/itemProps4.xml><?xml version="1.0" encoding="utf-8"?>
<ds:datastoreItem xmlns:ds="http://schemas.openxmlformats.org/officeDocument/2006/customXml" ds:itemID="{645FF736-2083-4F76-A79C-63497D275927}">
  <ds:schemaRefs/>
</ds:datastoreItem>
</file>

<file path=customXml/itemProps5.xml><?xml version="1.0" encoding="utf-8"?>
<ds:datastoreItem xmlns:ds="http://schemas.openxmlformats.org/officeDocument/2006/customXml" ds:itemID="{6C2C0941-9B36-4BC6-85D4-0AAB1693C2E5}">
  <ds:schemaRefs/>
</ds:datastoreItem>
</file>

<file path=customXml/itemProps6.xml><?xml version="1.0" encoding="utf-8"?>
<ds:datastoreItem xmlns:ds="http://schemas.openxmlformats.org/officeDocument/2006/customXml" ds:itemID="{5657A15C-DDE9-4311-BDD5-F2A2AC22DB3D}">
  <ds:schemaRefs/>
</ds:datastoreItem>
</file>

<file path=customXml/itemProps7.xml><?xml version="1.0" encoding="utf-8"?>
<ds:datastoreItem xmlns:ds="http://schemas.openxmlformats.org/officeDocument/2006/customXml" ds:itemID="{C25E06C5-E8A8-43F1-94F8-A7464B13C8E3}">
  <ds:schemaRefs/>
</ds:datastoreItem>
</file>

<file path=customXml/itemProps8.xml><?xml version="1.0" encoding="utf-8"?>
<ds:datastoreItem xmlns:ds="http://schemas.openxmlformats.org/officeDocument/2006/customXml" ds:itemID="{541D7E39-F065-469D-9460-71DFB6D5A388}">
  <ds:schemaRefs/>
</ds:datastoreItem>
</file>

<file path=customXml/itemProps9.xml><?xml version="1.0" encoding="utf-8"?>
<ds:datastoreItem xmlns:ds="http://schemas.openxmlformats.org/officeDocument/2006/customXml" ds:itemID="{D1C0A3ED-1253-419F-A647-1BB96AD3492C}">
  <ds:schemaRefs/>
</ds:datastoreItem>
</file>

<file path=customXml/itemProps10.xml><?xml version="1.0" encoding="utf-8"?>
<ds:datastoreItem xmlns:ds="http://schemas.openxmlformats.org/officeDocument/2006/customXml" ds:itemID="{07BF1072-BBC9-4BA8-A57D-C421ADD42C38}">
  <ds:schemaRefs>
    <ds:schemaRef ds:uri="http://gemini/pivotcustomization/LinkedTableUpdateMode"/>
  </ds:schemaRefs>
</ds:datastoreItem>
</file>

<file path=customXml/itemProps11.xml><?xml version="1.0" encoding="utf-8"?>
<ds:datastoreItem xmlns:ds="http://schemas.openxmlformats.org/officeDocument/2006/customXml" ds:itemID="{D505D9CD-7C2E-4FE6-8391-A7D9756BAB1D}">
  <ds:schemaRefs/>
</ds:datastoreItem>
</file>

<file path=customXml/itemProps12.xml><?xml version="1.0" encoding="utf-8"?>
<ds:datastoreItem xmlns:ds="http://schemas.openxmlformats.org/officeDocument/2006/customXml" ds:itemID="{001EB00A-43BD-432F-89B4-363450D715D5}">
  <ds:schemaRefs/>
</ds:datastoreItem>
</file>

<file path=customXml/itemProps13.xml><?xml version="1.0" encoding="utf-8"?>
<ds:datastoreItem xmlns:ds="http://schemas.openxmlformats.org/officeDocument/2006/customXml" ds:itemID="{3C40DBE0-D200-44D6-83F2-19E25B7340A5}">
  <ds:schemaRefs/>
</ds:datastoreItem>
</file>

<file path=customXml/itemProps14.xml><?xml version="1.0" encoding="utf-8"?>
<ds:datastoreItem xmlns:ds="http://schemas.openxmlformats.org/officeDocument/2006/customXml" ds:itemID="{B5DC72BB-F2BE-44E0-B685-249CBD508AEE}">
  <ds:schemaRefs/>
</ds:datastoreItem>
</file>

<file path=customXml/itemProps15.xml><?xml version="1.0" encoding="utf-8"?>
<ds:datastoreItem xmlns:ds="http://schemas.openxmlformats.org/officeDocument/2006/customXml" ds:itemID="{A21BB151-DDF8-406C-AA24-E3AACE6E6D36}">
  <ds:schemaRefs/>
</ds:datastoreItem>
</file>

<file path=customXml/itemProps16.xml><?xml version="1.0" encoding="utf-8"?>
<ds:datastoreItem xmlns:ds="http://schemas.openxmlformats.org/officeDocument/2006/customXml" ds:itemID="{8FFED1D8-8F38-4955-B8F9-10C1DF035349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926D8FCD-8791-4652-AC41-9E3F7B662FAB}">
  <ds:schemaRefs/>
</ds:datastoreItem>
</file>

<file path=customXml/itemProps18.xml><?xml version="1.0" encoding="utf-8"?>
<ds:datastoreItem xmlns:ds="http://schemas.openxmlformats.org/officeDocument/2006/customXml" ds:itemID="{C3F51952-BE56-4556-91F4-60A7BBA2CF16}">
  <ds:schemaRefs/>
</ds:datastoreItem>
</file>

<file path=customXml/itemProps19.xml><?xml version="1.0" encoding="utf-8"?>
<ds:datastoreItem xmlns:ds="http://schemas.openxmlformats.org/officeDocument/2006/customXml" ds:itemID="{14DA2DC7-AFA9-42A6-8403-99FCC26FF55A}">
  <ds:schemaRefs/>
</ds:datastoreItem>
</file>

<file path=customXml/itemProps20.xml><?xml version="1.0" encoding="utf-8"?>
<ds:datastoreItem xmlns:ds="http://schemas.openxmlformats.org/officeDocument/2006/customXml" ds:itemID="{01EDD084-0603-4B4B-8480-89C43317A50A}">
  <ds:schemaRefs/>
</ds:datastoreItem>
</file>

<file path=customXml/itemProps21.xml><?xml version="1.0" encoding="utf-8"?>
<ds:datastoreItem xmlns:ds="http://schemas.openxmlformats.org/officeDocument/2006/customXml" ds:itemID="{21832595-CC6E-4368-968A-77914FE5E092}">
  <ds:schemaRefs>
    <ds:schemaRef ds:uri="http://gemini/pivotcustomization/ManualCalcMode"/>
  </ds:schemaRefs>
</ds:datastoreItem>
</file>

<file path=customXml/itemProps22.xml><?xml version="1.0" encoding="utf-8"?>
<ds:datastoreItem xmlns:ds="http://schemas.openxmlformats.org/officeDocument/2006/customXml" ds:itemID="{DE64795A-3702-4EEF-8B0D-E40E90F9D276}">
  <ds:schemaRefs/>
</ds:datastoreItem>
</file>

<file path=customXml/itemProps23.xml><?xml version="1.0" encoding="utf-8"?>
<ds:datastoreItem xmlns:ds="http://schemas.openxmlformats.org/officeDocument/2006/customXml" ds:itemID="{6942B142-57CE-4E65-9338-0D6D2F5764BB}">
  <ds:schemaRefs>
    <ds:schemaRef ds:uri="http://gemini/pivotcustomization/993cecf0-e578-4646-978a-e50caecae343"/>
  </ds:schemaRefs>
</ds:datastoreItem>
</file>

<file path=customXml/itemProps24.xml><?xml version="1.0" encoding="utf-8"?>
<ds:datastoreItem xmlns:ds="http://schemas.openxmlformats.org/officeDocument/2006/customXml" ds:itemID="{D0227B96-73B5-48F9-9ED4-2B4BD7F9237B}">
  <ds:schemaRefs/>
</ds:datastoreItem>
</file>

<file path=customXml/itemProps25.xml><?xml version="1.0" encoding="utf-8"?>
<ds:datastoreItem xmlns:ds="http://schemas.openxmlformats.org/officeDocument/2006/customXml" ds:itemID="{E821D56B-502A-4ADE-A797-18C25331431B}">
  <ds:schemaRefs>
    <ds:schemaRef ds:uri="http://gemini/pivotcustomization/a95e281f-c89c-4ea4-ad1f-c6894b97c93d"/>
  </ds:schemaRefs>
</ds:datastoreItem>
</file>

<file path=customXml/itemProps26.xml><?xml version="1.0" encoding="utf-8"?>
<ds:datastoreItem xmlns:ds="http://schemas.openxmlformats.org/officeDocument/2006/customXml" ds:itemID="{4724D345-0A06-4D3D-B289-1AC7FCEEE869}">
  <ds:schemaRefs/>
</ds:datastoreItem>
</file>

<file path=customXml/itemProps27.xml><?xml version="1.0" encoding="utf-8"?>
<ds:datastoreItem xmlns:ds="http://schemas.openxmlformats.org/officeDocument/2006/customXml" ds:itemID="{173A6680-69B0-4E2A-BBD4-79F3A844211A}">
  <ds:schemaRefs/>
</ds:datastoreItem>
</file>

<file path=customXml/itemProps28.xml><?xml version="1.0" encoding="utf-8"?>
<ds:datastoreItem xmlns:ds="http://schemas.openxmlformats.org/officeDocument/2006/customXml" ds:itemID="{92ACDB85-49AA-4F36-8165-39003F3A8AF9}">
  <ds:schemaRefs/>
</ds:datastoreItem>
</file>

<file path=customXml/itemProps29.xml><?xml version="1.0" encoding="utf-8"?>
<ds:datastoreItem xmlns:ds="http://schemas.openxmlformats.org/officeDocument/2006/customXml" ds:itemID="{745BEA8B-0F58-47E9-BD1B-CB1D5DCFA4ED}">
  <ds:schemaRefs/>
</ds:datastoreItem>
</file>

<file path=customXml/itemProps30.xml><?xml version="1.0" encoding="utf-8"?>
<ds:datastoreItem xmlns:ds="http://schemas.openxmlformats.org/officeDocument/2006/customXml" ds:itemID="{18C040BC-7EEE-443E-A27C-F8C8D510C934}">
  <ds:schemaRefs/>
</ds:datastoreItem>
</file>

<file path=customXml/itemProps31.xml><?xml version="1.0" encoding="utf-8"?>
<ds:datastoreItem xmlns:ds="http://schemas.openxmlformats.org/officeDocument/2006/customXml" ds:itemID="{5FC1F88B-BEAB-4DAE-991B-3C4C5E09E6BD}">
  <ds:schemaRefs/>
</ds:datastoreItem>
</file>

<file path=customXml/itemProps32.xml><?xml version="1.0" encoding="utf-8"?>
<ds:datastoreItem xmlns:ds="http://schemas.openxmlformats.org/officeDocument/2006/customXml" ds:itemID="{231018E2-4E6A-4EB8-9A1D-5EEBD73FCC69}">
  <ds:schemaRefs/>
</ds:datastoreItem>
</file>

<file path=customXml/itemProps33.xml><?xml version="1.0" encoding="utf-8"?>
<ds:datastoreItem xmlns:ds="http://schemas.openxmlformats.org/officeDocument/2006/customXml" ds:itemID="{DA44FD05-5144-4718-BF70-F07AFC5F8A38}">
  <ds:schemaRefs/>
</ds:datastoreItem>
</file>

<file path=customXml/itemProps34.xml><?xml version="1.0" encoding="utf-8"?>
<ds:datastoreItem xmlns:ds="http://schemas.openxmlformats.org/officeDocument/2006/customXml" ds:itemID="{593C9C9D-9FD4-4FC8-9C98-848572E33629}">
  <ds:schemaRefs>
    <ds:schemaRef ds:uri="http://gemini/pivotcustomization/645a1a24-c566-49ff-b9c4-b3bf13ea06e3"/>
  </ds:schemaRefs>
</ds:datastoreItem>
</file>

<file path=customXml/itemProps35.xml><?xml version="1.0" encoding="utf-8"?>
<ds:datastoreItem xmlns:ds="http://schemas.openxmlformats.org/officeDocument/2006/customXml" ds:itemID="{FD20D50B-4585-4A4E-8BC8-8212E004E148}">
  <ds:schemaRefs>
    <ds:schemaRef ds:uri="http://gemini/pivotcustomization/ShowImplicitMeasures"/>
  </ds:schemaRefs>
</ds:datastoreItem>
</file>

<file path=customXml/itemProps36.xml><?xml version="1.0" encoding="utf-8"?>
<ds:datastoreItem xmlns:ds="http://schemas.openxmlformats.org/officeDocument/2006/customXml" ds:itemID="{5A4C8E47-E125-4E52-B5F9-B46E1720150E}">
  <ds:schemaRefs/>
</ds:datastoreItem>
</file>

<file path=customXml/itemProps37.xml><?xml version="1.0" encoding="utf-8"?>
<ds:datastoreItem xmlns:ds="http://schemas.openxmlformats.org/officeDocument/2006/customXml" ds:itemID="{9ECAB566-CB02-4C37-B6D4-54CFB53BBEDC}">
  <ds:schemaRefs/>
</ds:datastoreItem>
</file>

<file path=customXml/itemProps38.xml><?xml version="1.0" encoding="utf-8"?>
<ds:datastoreItem xmlns:ds="http://schemas.openxmlformats.org/officeDocument/2006/customXml" ds:itemID="{BD7D92F5-D7D0-4385-865E-771D3752F361}">
  <ds:schemaRefs/>
</ds:datastoreItem>
</file>

<file path=customXml/itemProps39.xml><?xml version="1.0" encoding="utf-8"?>
<ds:datastoreItem xmlns:ds="http://schemas.openxmlformats.org/officeDocument/2006/customXml" ds:itemID="{0A96BB45-997C-4111-B6EB-C9C110A27245}">
  <ds:schemaRefs/>
</ds:datastoreItem>
</file>

<file path=customXml/itemProps40.xml><?xml version="1.0" encoding="utf-8"?>
<ds:datastoreItem xmlns:ds="http://schemas.openxmlformats.org/officeDocument/2006/customXml" ds:itemID="{C644C88F-9E66-4D22-B758-0D824A6F5C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1</vt:i4>
      </vt:variant>
    </vt:vector>
  </HeadingPairs>
  <TitlesOfParts>
    <vt:vector size="8" baseType="lpstr">
      <vt:lpstr>dashboard</vt:lpstr>
      <vt:lpstr>esboço</vt:lpstr>
      <vt:lpstr>vendas vs objectivos</vt:lpstr>
      <vt:lpstr>vendas por semana</vt:lpstr>
      <vt:lpstr>Lucro</vt:lpstr>
      <vt:lpstr>calc</vt:lpstr>
      <vt:lpstr>sparkline</vt:lpstr>
      <vt:lpstr>dashboard!Área_de_Impressão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2024-10-24T20:27:42Z</dcterms:created>
  <dcterms:modified xsi:type="dcterms:W3CDTF">2025-12-07T17:38:05Z</dcterms:modified>
  <cp:category/>
  <cp:contentStatus/>
</cp:coreProperties>
</file>